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9f6c07718b65a17/Trabalho/ATA Bauru/Site Recape Bauru/"/>
    </mc:Choice>
  </mc:AlternateContent>
  <xr:revisionPtr revIDLastSave="18" documentId="13_ncr:1_{9256A3C2-1EE2-40DA-B6AF-1F238AD001AE}" xr6:coauthVersionLast="47" xr6:coauthVersionMax="47" xr10:uidLastSave="{EAD3D68E-8633-4E81-9CBB-8DAF6E18CC92}"/>
  <bookViews>
    <workbookView xWindow="-108" yWindow="-108" windowWidth="23256" windowHeight="12456" tabRatio="500" xr2:uid="{00000000-000D-0000-FFFF-FFFF00000000}"/>
  </bookViews>
  <sheets>
    <sheet name="PLAN" sheetId="1" r:id="rId1"/>
    <sheet name="COMO PREENCHER" sheetId="2" r:id="rId2"/>
  </sheets>
  <definedNames>
    <definedName name="_xlnm._FilterDatabase" localSheetId="0" hidden="1">PLAN!$A$1:$L$164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35" i="1" l="1"/>
  <c r="L164" i="1" l="1"/>
  <c r="K164" i="1"/>
  <c r="L163" i="1"/>
  <c r="K163" i="1"/>
  <c r="L162" i="1"/>
  <c r="K162" i="1"/>
  <c r="L161" i="1"/>
  <c r="K161" i="1"/>
  <c r="L160" i="1"/>
  <c r="K160" i="1"/>
  <c r="L159" i="1"/>
  <c r="K159" i="1"/>
  <c r="L158" i="1"/>
  <c r="K158" i="1"/>
  <c r="L157" i="1"/>
  <c r="K157" i="1"/>
  <c r="L156" i="1"/>
  <c r="K156" i="1"/>
  <c r="L155" i="1"/>
  <c r="K155" i="1"/>
  <c r="L154" i="1"/>
  <c r="K154" i="1"/>
  <c r="L153" i="1"/>
  <c r="K153" i="1"/>
  <c r="L152" i="1"/>
  <c r="K152" i="1"/>
  <c r="L151" i="1"/>
  <c r="K151" i="1"/>
  <c r="L150" i="1"/>
  <c r="K150" i="1"/>
  <c r="L149" i="1"/>
  <c r="K149" i="1"/>
  <c r="L148" i="1"/>
  <c r="K148" i="1"/>
  <c r="L147" i="1"/>
  <c r="K147" i="1"/>
  <c r="L146" i="1"/>
  <c r="K146" i="1"/>
  <c r="L145" i="1"/>
  <c r="K145" i="1"/>
  <c r="L144" i="1"/>
  <c r="K144" i="1"/>
  <c r="L143" i="1"/>
  <c r="K143" i="1"/>
  <c r="L142" i="1"/>
  <c r="K142" i="1"/>
  <c r="L141" i="1"/>
  <c r="K141" i="1"/>
  <c r="L140" i="1"/>
  <c r="K140" i="1"/>
  <c r="L139" i="1"/>
  <c r="K139" i="1"/>
  <c r="L138" i="1"/>
  <c r="K138" i="1"/>
  <c r="L137" i="1"/>
  <c r="K137" i="1"/>
  <c r="L136" i="1"/>
  <c r="K136" i="1"/>
  <c r="L135" i="1"/>
  <c r="K135" i="1"/>
  <c r="L134" i="1"/>
  <c r="K134" i="1"/>
  <c r="L133" i="1"/>
  <c r="K133" i="1"/>
  <c r="L132" i="1"/>
  <c r="K132" i="1"/>
  <c r="L131" i="1"/>
  <c r="K131" i="1"/>
  <c r="L130" i="1"/>
  <c r="K130" i="1"/>
  <c r="L129" i="1"/>
  <c r="K129" i="1"/>
  <c r="L128" i="1"/>
  <c r="K128" i="1"/>
  <c r="L127" i="1"/>
  <c r="K127" i="1"/>
  <c r="L126" i="1"/>
  <c r="K126" i="1"/>
  <c r="L125" i="1"/>
  <c r="K125" i="1"/>
  <c r="L124" i="1"/>
  <c r="K124" i="1"/>
  <c r="L123" i="1"/>
  <c r="K123" i="1"/>
  <c r="L122" i="1"/>
  <c r="K122" i="1"/>
  <c r="L121" i="1"/>
  <c r="K121" i="1"/>
  <c r="L120" i="1"/>
  <c r="K120" i="1"/>
  <c r="L119" i="1"/>
  <c r="K119" i="1"/>
  <c r="L118" i="1"/>
  <c r="K118" i="1"/>
  <c r="L117" i="1"/>
  <c r="K117" i="1"/>
  <c r="L116" i="1"/>
  <c r="K116" i="1"/>
  <c r="L115" i="1"/>
  <c r="K115" i="1"/>
  <c r="L114" i="1"/>
  <c r="K114" i="1"/>
  <c r="L113" i="1"/>
  <c r="K113" i="1"/>
  <c r="L112" i="1"/>
  <c r="K112" i="1"/>
  <c r="L111" i="1"/>
  <c r="K111" i="1"/>
  <c r="L110" i="1"/>
  <c r="K110" i="1"/>
  <c r="L109" i="1"/>
  <c r="K109" i="1"/>
  <c r="L108" i="1"/>
  <c r="K108" i="1"/>
  <c r="L107" i="1"/>
  <c r="K107" i="1"/>
  <c r="L106" i="1"/>
  <c r="K106" i="1"/>
  <c r="L105" i="1"/>
  <c r="K105" i="1"/>
  <c r="L104" i="1"/>
  <c r="K104" i="1"/>
  <c r="L103" i="1"/>
  <c r="K103" i="1"/>
  <c r="L102" i="1"/>
  <c r="K102" i="1"/>
  <c r="L101" i="1"/>
  <c r="K101" i="1"/>
  <c r="K100" i="1"/>
  <c r="L100" i="1" s="1"/>
  <c r="K99" i="1"/>
  <c r="L99" i="1" s="1"/>
  <c r="K98" i="1"/>
  <c r="L98" i="1" s="1"/>
  <c r="K97" i="1"/>
  <c r="L97" i="1" s="1"/>
  <c r="L96" i="1"/>
  <c r="K96" i="1"/>
  <c r="L95" i="1"/>
  <c r="K95" i="1"/>
  <c r="L94" i="1"/>
  <c r="K94" i="1"/>
  <c r="L93" i="1"/>
  <c r="K93" i="1"/>
  <c r="L92" i="1"/>
  <c r="K92" i="1"/>
  <c r="L91" i="1"/>
  <c r="K91" i="1"/>
  <c r="L90" i="1"/>
  <c r="K90" i="1"/>
  <c r="L89" i="1"/>
  <c r="K89" i="1"/>
  <c r="L88" i="1"/>
  <c r="K88" i="1"/>
  <c r="L87" i="1"/>
  <c r="K87" i="1"/>
  <c r="L86" i="1"/>
  <c r="K86" i="1"/>
  <c r="L85" i="1"/>
  <c r="K85" i="1"/>
  <c r="L84" i="1"/>
  <c r="K84" i="1"/>
  <c r="L83" i="1"/>
  <c r="K83" i="1"/>
  <c r="L82" i="1"/>
  <c r="K82" i="1"/>
  <c r="L81" i="1"/>
  <c r="K81" i="1"/>
  <c r="L80" i="1"/>
  <c r="K80" i="1"/>
  <c r="L79" i="1"/>
  <c r="K79" i="1"/>
  <c r="L78" i="1"/>
  <c r="K78" i="1"/>
  <c r="L77" i="1"/>
  <c r="K77" i="1"/>
  <c r="L76" i="1"/>
  <c r="K76" i="1"/>
  <c r="K75" i="1"/>
  <c r="L75" i="1" s="1"/>
  <c r="K74" i="1"/>
  <c r="L74" i="1" s="1"/>
  <c r="K73" i="1"/>
  <c r="L73" i="1" s="1"/>
  <c r="K72" i="1"/>
  <c r="L72" i="1" s="1"/>
  <c r="K71" i="1"/>
  <c r="L71" i="1" s="1"/>
  <c r="K70" i="1"/>
  <c r="L70" i="1" s="1"/>
  <c r="K69" i="1"/>
  <c r="L69" i="1" s="1"/>
  <c r="K68" i="1"/>
  <c r="L68" i="1" s="1"/>
  <c r="K67" i="1"/>
  <c r="L67" i="1" s="1"/>
  <c r="K66" i="1"/>
  <c r="L66" i="1" s="1"/>
  <c r="K65" i="1"/>
  <c r="L65" i="1" s="1"/>
  <c r="K64" i="1"/>
  <c r="L64" i="1" s="1"/>
  <c r="L63" i="1"/>
  <c r="K63" i="1"/>
  <c r="L62" i="1"/>
  <c r="K62" i="1"/>
  <c r="L61" i="1"/>
  <c r="K61" i="1"/>
  <c r="L60" i="1"/>
  <c r="K60" i="1"/>
  <c r="L59" i="1"/>
  <c r="K59" i="1"/>
  <c r="L58" i="1"/>
  <c r="K58" i="1"/>
  <c r="L57" i="1"/>
  <c r="K57" i="1"/>
  <c r="L56" i="1"/>
  <c r="K56" i="1"/>
  <c r="L55" i="1"/>
  <c r="K55" i="1"/>
  <c r="L54" i="1"/>
  <c r="K54" i="1"/>
  <c r="L53" i="1"/>
  <c r="K53" i="1"/>
  <c r="L52" i="1"/>
  <c r="K52" i="1"/>
  <c r="L51" i="1"/>
  <c r="K51" i="1"/>
  <c r="L50" i="1"/>
  <c r="K50" i="1"/>
  <c r="L49" i="1"/>
  <c r="K49" i="1"/>
  <c r="L48" i="1"/>
  <c r="K48" i="1"/>
  <c r="L47" i="1"/>
  <c r="K47" i="1"/>
  <c r="L46" i="1"/>
  <c r="K46" i="1"/>
  <c r="L45" i="1"/>
  <c r="K45" i="1"/>
  <c r="L44" i="1"/>
  <c r="K44" i="1"/>
  <c r="K43" i="1"/>
  <c r="L43" i="1" s="1"/>
  <c r="L42" i="1"/>
  <c r="K42" i="1"/>
  <c r="L41" i="1"/>
  <c r="K41" i="1"/>
  <c r="K40" i="1"/>
  <c r="L40" i="1" s="1"/>
  <c r="K39" i="1"/>
  <c r="L39" i="1" s="1"/>
  <c r="L38" i="1"/>
  <c r="K38" i="1"/>
  <c r="L37" i="1"/>
  <c r="K37" i="1"/>
  <c r="K36" i="1"/>
  <c r="L36" i="1" s="1"/>
  <c r="L35" i="1"/>
  <c r="K34" i="1"/>
  <c r="L34" i="1" s="1"/>
  <c r="K33" i="1"/>
  <c r="L33" i="1" s="1"/>
  <c r="K32" i="1"/>
  <c r="L32" i="1" s="1"/>
  <c r="K31" i="1"/>
  <c r="L31" i="1" s="1"/>
  <c r="K30" i="1"/>
  <c r="L30" i="1" s="1"/>
  <c r="K29" i="1"/>
  <c r="L29" i="1" s="1"/>
  <c r="K28" i="1"/>
  <c r="L28" i="1" s="1"/>
  <c r="K27" i="1"/>
  <c r="L27" i="1" s="1"/>
  <c r="K26" i="1"/>
  <c r="L26" i="1" s="1"/>
  <c r="K25" i="1"/>
  <c r="L25" i="1" s="1"/>
  <c r="K24" i="1"/>
  <c r="L24" i="1" s="1"/>
  <c r="K23" i="1"/>
  <c r="L23" i="1" s="1"/>
  <c r="K22" i="1"/>
  <c r="L22" i="1" s="1"/>
  <c r="K21" i="1"/>
  <c r="L21" i="1" s="1"/>
  <c r="K20" i="1"/>
  <c r="L20" i="1" s="1"/>
  <c r="K19" i="1"/>
  <c r="L19" i="1" s="1"/>
  <c r="K18" i="1"/>
  <c r="L18" i="1" s="1"/>
  <c r="K17" i="1"/>
  <c r="L17" i="1" s="1"/>
  <c r="K16" i="1"/>
  <c r="L16" i="1" s="1"/>
  <c r="L15" i="1"/>
  <c r="K15" i="1"/>
  <c r="L14" i="1"/>
  <c r="K14" i="1"/>
  <c r="L13" i="1"/>
  <c r="K13" i="1"/>
  <c r="K12" i="1"/>
  <c r="L12" i="1" s="1"/>
  <c r="K11" i="1"/>
  <c r="L11" i="1" s="1"/>
  <c r="K10" i="1"/>
  <c r="L10" i="1" s="1"/>
  <c r="K9" i="1"/>
  <c r="L9" i="1" s="1"/>
  <c r="K8" i="1"/>
  <c r="L8" i="1" s="1"/>
  <c r="K7" i="1"/>
  <c r="L7" i="1" s="1"/>
  <c r="K6" i="1"/>
  <c r="L6" i="1" s="1"/>
  <c r="K5" i="1"/>
  <c r="L5" i="1" s="1"/>
  <c r="K4" i="1"/>
  <c r="L4" i="1" s="1"/>
  <c r="K3" i="1"/>
  <c r="L3" i="1" s="1"/>
  <c r="K2" i="1"/>
  <c r="L2" i="1" s="1"/>
</calcChain>
</file>

<file path=xl/sharedStrings.xml><?xml version="1.0" encoding="utf-8"?>
<sst xmlns="http://schemas.openxmlformats.org/spreadsheetml/2006/main" count="681" uniqueCount="200">
  <si>
    <t>Item</t>
  </si>
  <si>
    <t>Bairro</t>
  </si>
  <si>
    <t>Nome da Via</t>
  </si>
  <si>
    <t>Prazo</t>
  </si>
  <si>
    <t>Status</t>
  </si>
  <si>
    <t>Data Início</t>
  </si>
  <si>
    <t>Data Fim</t>
  </si>
  <si>
    <t>Área (m²)</t>
  </si>
  <si>
    <t>Valor Estimado (R$)</t>
  </si>
  <si>
    <t>% Concluído</t>
  </si>
  <si>
    <t>José Regino e Vila Tecnológica</t>
  </si>
  <si>
    <t>RUA JORGE SCHNEYDER FILHO - QT 15 A 21</t>
  </si>
  <si>
    <t>120 Dias</t>
  </si>
  <si>
    <t>Não iniciada</t>
  </si>
  <si>
    <t>RUA EIDEMAR ARCAS - QT 01 A 06</t>
  </si>
  <si>
    <t>RUA ANTONIO BORTONE - QT 01 A 09</t>
  </si>
  <si>
    <t>RUA PEDRO NUNES GOULART - QT 01 E 02</t>
  </si>
  <si>
    <t>RUA RAUL CREVELENTE GUEDINI - QT 03 E 04</t>
  </si>
  <si>
    <t>RUA LUIZ BORTOLIERO NETO - QT 04 E 05</t>
  </si>
  <si>
    <t>RUA WALDOMIRO ABILIO - QT 04 E 05</t>
  </si>
  <si>
    <t>RUA JOEL RIOS SILVA - QT 01 E 02</t>
  </si>
  <si>
    <t>RUA AURORA GAVALDÃO DE OLIVEIRA - QT 01 E 02:</t>
  </si>
  <si>
    <t>RUA TEOFILO FELICIANO DA SILVA - QT 01 E 02:</t>
  </si>
  <si>
    <t>RUA JOSE CHAB JUNIOR - QT 01:</t>
  </si>
  <si>
    <t>RUA JOSE SBEGHEN - QT 01 AO 03:</t>
  </si>
  <si>
    <t>RUA ABILIO ZAMBONATO - QT 01:</t>
  </si>
  <si>
    <t>RUA SERAFIM PERTINHES - QT 09 E 10:</t>
  </si>
  <si>
    <t>ALAMEDA ENG. JOAO B. PACHECO FANTIN - QT 01 AO 05:</t>
  </si>
  <si>
    <t>RUA ANDRE BONACHELA PALIARECI - QT 01 AO 05:</t>
  </si>
  <si>
    <t>RUA KITI SACUMA - QT 01 AO 03:</t>
  </si>
  <si>
    <t>RUA BENEDITO RALA - QT 01:</t>
  </si>
  <si>
    <t>RUA ANA ROSA LIMA ROLIM - QT 01 AO 04:</t>
  </si>
  <si>
    <t>RUA IRMÃOS DO SAGRADO CORAÇÃO - QT 01 AO 08:</t>
  </si>
  <si>
    <t>RUA GUERINO SCAVASSINI - QT 01 AO 03:</t>
  </si>
  <si>
    <t>RUA ANTONIO SANCHES - QT 01:</t>
  </si>
  <si>
    <t>RUA ANASTACIO NUNES VIEIRA - QT 01 E 02:</t>
  </si>
  <si>
    <t>RUA JOSE TOLOI - QT 01 E 02:</t>
  </si>
  <si>
    <t>RUA LANDERICO MICHELETI - QT 01 E 02:</t>
  </si>
  <si>
    <t>RUA JOSE VALERIO FILHO - QT 01 E 02:</t>
  </si>
  <si>
    <t>RUA JOAO CONSTANTE CARRARA - QT 01 E 02:</t>
  </si>
  <si>
    <t>RUA SHUHAN IZU - QT 01 AO 07:</t>
  </si>
  <si>
    <t>RUA PELLEGRINO BRUNO - QT 01 E 02:</t>
  </si>
  <si>
    <t>RUA RUFINO MUNHOZ NICOLAS - QT 01 E 02:</t>
  </si>
  <si>
    <t>RUA CLAUDIO CESAR LOURENÇO - QT 01 E 02:</t>
  </si>
  <si>
    <t>RUA MARCO ANTONIO PICCIRILLI - QT 06</t>
  </si>
  <si>
    <t>RUA LUCAS BOTTER - QT 01 E 02:</t>
  </si>
  <si>
    <t>RUA LAMIA COHLMIA SOUBIHE - QT 01 AO 07:</t>
  </si>
  <si>
    <t>RUA ANTONIO MACHUCA - QT 01:</t>
  </si>
  <si>
    <t>RUA PAULO GARBINO - QT 01:</t>
  </si>
  <si>
    <t>RUA WALDOMIRO ABILIO - QT 01 A 03:</t>
  </si>
  <si>
    <t>RUA LUIZ BORTOLIERO NETO - QT 01 A 03:</t>
  </si>
  <si>
    <t>RUA RAUL CREVELENTE GUEDINI - QT 01 E 02:</t>
  </si>
  <si>
    <t>RUA LUISA PECCHI SAMOGIM - QT 01 AO 03</t>
  </si>
  <si>
    <t>RUA MARIA JOSE CORDOVIL DE SOUZA - QT 09 E 10:</t>
  </si>
  <si>
    <t>RUA BENEDITO DA SILVA - QT 07 E 08:</t>
  </si>
  <si>
    <t>RUA ARGEMIRO JORGE FERRAZ - QT 07 E 08:</t>
  </si>
  <si>
    <t>Recape Independência Fase II</t>
  </si>
  <si>
    <t>AVENIDA CASTELO BRANCO 2; 20 À 32</t>
  </si>
  <si>
    <t>PRAÇA CAP. JOÃO BATISTA ALVES 1 A 4</t>
  </si>
  <si>
    <t>RUA ALASKA 4 À 9; 12,13</t>
  </si>
  <si>
    <t>RUA ARGENTINA 4 À 8</t>
  </si>
  <si>
    <t>RUA BRASIL 3,4</t>
  </si>
  <si>
    <t>RUA CANADÁ 3,6</t>
  </si>
  <si>
    <t>RUA CHILE 2 À 9</t>
  </si>
  <si>
    <t>RUA COLOMBIA 7,11</t>
  </si>
  <si>
    <t>RUA CONCÓRDIA 1,2,3</t>
  </si>
  <si>
    <t>RUA CRISTÓVÃO SANCHES 7,8,9</t>
  </si>
  <si>
    <t>RUA CUBA 6 À 11;14</t>
  </si>
  <si>
    <t>RUA EQUADOR 4,6,7</t>
  </si>
  <si>
    <t>RUA ERNESTO QUAGGIO 2,3</t>
  </si>
  <si>
    <t>RUA ESTADOS UNIDOS 1 À 3; 5</t>
  </si>
  <si>
    <t>RUA FAUSTO TIBIRIÇA DO AMARAL 1,2</t>
  </si>
  <si>
    <t>RUA FELICISSIMO ANTONIO PEREIRA 2 À 5;7,8</t>
  </si>
  <si>
    <t>RUA FERNANDO LIMA RAMOS 1,2,3</t>
  </si>
  <si>
    <t>RUA GABRIEL PINTO RIBEIRO 2,3</t>
  </si>
  <si>
    <t>RUA GUATEMALA 7</t>
  </si>
  <si>
    <t>RUA HIROFUMI FUSSAME 1,2,3</t>
  </si>
  <si>
    <t>RUA ITORORÓ 9</t>
  </si>
  <si>
    <t>RUA JOÃO ARO 1</t>
  </si>
  <si>
    <t>RUA KANEAKI IJUIM 1,2,3</t>
  </si>
  <si>
    <t>RUA LUIZ GAMA 1,2,6,7,8</t>
  </si>
  <si>
    <t>RUA MARIA ROSA 2</t>
  </si>
  <si>
    <t>RUA MARTINS FONTES 2 À 5;7,8</t>
  </si>
  <si>
    <t>RUA MÉXICO 1 À 4</t>
  </si>
  <si>
    <t>RUA MILITINO MARTINS 2 À 4;7</t>
  </si>
  <si>
    <t>RUA NEWTON PRADO 1 À 4</t>
  </si>
  <si>
    <t>RUA NICOLAU DELGALLO 17,18,19</t>
  </si>
  <si>
    <t>RUA PANAMÁ 1</t>
  </si>
  <si>
    <t>RUA PREFEITO ALVES DE LIMA 2 À 8</t>
  </si>
  <si>
    <t>RUA RIACHUELO 4 À 11</t>
  </si>
  <si>
    <t>RUA RODOLFINA DIAS DOMINGUES 7, 8</t>
  </si>
  <si>
    <t>RUA SADAZO KAZAI 1,2,3</t>
  </si>
  <si>
    <t>RUA SEIKITI MIAGUI 1</t>
  </si>
  <si>
    <t>RUA TEISHO TOKUHARA 2</t>
  </si>
  <si>
    <t>RUA TENRI 5 À 9</t>
  </si>
  <si>
    <t>RUA TOHITI SAWAO 2,3</t>
  </si>
  <si>
    <t>RUA VASCO DA GAMA 1 À 6</t>
  </si>
  <si>
    <t>RUA VEREADOR RIBEIRO DA SILVA 1</t>
  </si>
  <si>
    <t>RUA WALTER BELIAN 2;5 À 9;11 Á 21</t>
  </si>
  <si>
    <t>RUA ZEBEDEU HOLANDA DE ANDRADE 1,2,3</t>
  </si>
  <si>
    <t>TRAVESSA BATUKEGE 1</t>
  </si>
  <si>
    <t>TRAVESSA FREI HENRIQUE GOLLAND TRINDADE 1</t>
  </si>
  <si>
    <t>TRAVESSA MANSHI KANASHIRO 1</t>
  </si>
  <si>
    <t>TRAVESSA SEM NOME SEM SAÍDA (ENTRADA PELA RUA RODOLFINA DIAS DOMINGUES) 1</t>
  </si>
  <si>
    <t>TRAVESSA ZAHIE ASSAD CURY 1</t>
  </si>
  <si>
    <t>Recape Geisel Fase II</t>
  </si>
  <si>
    <t>RUA DOS ABACATEIROS 01 A 08</t>
  </si>
  <si>
    <t>AVENIDAS DAS PITANGUEIRAS 1</t>
  </si>
  <si>
    <t>RUA JOSE ANGELO TONIATO 1</t>
  </si>
  <si>
    <t>RUA DOIS 1</t>
  </si>
  <si>
    <t>RUA DOS CAJUZEIROS 01 A 08</t>
  </si>
  <si>
    <t>AVENIDA DAS LARANJEIRAS 01 A 06</t>
  </si>
  <si>
    <t>RUA HUGO CAVICHINE PIRES 1</t>
  </si>
  <si>
    <t>RUA SERGIO MALHEIROS 1 E 5 A 9</t>
  </si>
  <si>
    <t>RUA FRANCISCO SCARELLA 3</t>
  </si>
  <si>
    <t>RUA BARÃO DE ITAPETININGA 4 E 8 A 18</t>
  </si>
  <si>
    <t>RUA MARECHAL DEODORO 4</t>
  </si>
  <si>
    <t>RUA LAZARO GONÇALVES 1</t>
  </si>
  <si>
    <t>RUA DOS JAMBEIROS 4</t>
  </si>
  <si>
    <t>RUA DOS LIMOEIROS 4</t>
  </si>
  <si>
    <t>RUA BENEDITO RIBEIRO DOS SANTOS 11 A 16</t>
  </si>
  <si>
    <t>RUA BASILIO SRINGHETTA 1 A 4</t>
  </si>
  <si>
    <t>RUA LAURO GONÇALVES FRAGA 1</t>
  </si>
  <si>
    <t>RUA JOAQUIM RODRIGUES MANSO 1</t>
  </si>
  <si>
    <t>RUA WALDEMAR DE BRITO 1</t>
  </si>
  <si>
    <t>RUA ORLANDO PONTES 1 E 2</t>
  </si>
  <si>
    <t>RUA LAZARO LUIS ZAMENHOF 1</t>
  </si>
  <si>
    <t>RUA CICERO DOMICIANO 1</t>
  </si>
  <si>
    <t>RUA JOSE DA SILVA 1</t>
  </si>
  <si>
    <t>RUA CESARINO DE OLIVEIRA 1 A 4</t>
  </si>
  <si>
    <t>RUA MAURO FERRAZ DE CAMARGO 1</t>
  </si>
  <si>
    <t>RUA SIDNEI BORRO 1 E 2</t>
  </si>
  <si>
    <t>RUA JOAO SCAVASSA 1</t>
  </si>
  <si>
    <t>RUA JOSE DE ANCHIETA 1 E 2</t>
  </si>
  <si>
    <t>RUA ALZIRO ZARUR 1 A 17</t>
  </si>
  <si>
    <t>RUA JONAS DE OLIVEIRA LEME 1</t>
  </si>
  <si>
    <t>RUA HOMERO NOBREGA 1</t>
  </si>
  <si>
    <t>RUA ROBERTO DEVIDES 1</t>
  </si>
  <si>
    <t>RUA ANTONIO JOSE GRANDO 1</t>
  </si>
  <si>
    <t>RUA SENHORIA FELICIA APARECIDA 1</t>
  </si>
  <si>
    <t>RUA INES FERNANDES LEAO 1 E 2</t>
  </si>
  <si>
    <t>RUA JOAO CARLOS PERAZO 1</t>
  </si>
  <si>
    <t>RUA CYRENIO FERRAZ DE AGUIAR 1 A 5</t>
  </si>
  <si>
    <t>RUA OCTACILIO DE ANDRADE TONINHO 11 E 12</t>
  </si>
  <si>
    <t>RUA ANTONIO GOMES FRANÇA 1</t>
  </si>
  <si>
    <t>RUA CELIO PALARO 1 A 3</t>
  </si>
  <si>
    <t>RUA ALCIDES AUGUSTO MEDONÇA 1 E 2</t>
  </si>
  <si>
    <t>RUA NELSON SPINELLI 1</t>
  </si>
  <si>
    <t>RUA ARMANDO ALEXANDRE NASRALA 1</t>
  </si>
  <si>
    <t>RUA CARMENO GIASANTE 1</t>
  </si>
  <si>
    <t>RUA ALTERO DOMINI 1</t>
  </si>
  <si>
    <t>RUA MARIO GRILO 1</t>
  </si>
  <si>
    <t>RUA JAIME MOREIRA 2</t>
  </si>
  <si>
    <t>RUA CHIMBO ATUSI 1 A 3</t>
  </si>
  <si>
    <t>RUA LOURENÇO DE CAPRIOLI 2 E 3</t>
  </si>
  <si>
    <t>RUA ANTONIO ALVARO LOPES 1 E 2</t>
  </si>
  <si>
    <t>RUA LAZARO THEODORO 1</t>
  </si>
  <si>
    <t>RUA JOAQUIM DE OLIVEIRA MATOS 1</t>
  </si>
  <si>
    <t>RUA MARIA COLI BRANDAO 2 E 3</t>
  </si>
  <si>
    <t>RUA ELPIDIO DA SILVA 1 E 2</t>
  </si>
  <si>
    <t>RUA PROFESSOR NEMPUKI SATO 1 A 4</t>
  </si>
  <si>
    <t>RUA YOSHIMATSU TAKAMOTO 1</t>
  </si>
  <si>
    <t>RUA FRANCISCO SANTIAGO 1 A 3</t>
  </si>
  <si>
    <t>RUA VENANCIO CABELO 1 A 5</t>
  </si>
  <si>
    <t>RUA HELIO CAÇADOR 1</t>
  </si>
  <si>
    <t>RUA JOSE PIRES DE CAMARGO 1 A 3</t>
  </si>
  <si>
    <t>RUA MANOEL VIGARIO 1</t>
  </si>
  <si>
    <t>RUA GENY TRIUMPHO MOREIRA 1</t>
  </si>
  <si>
    <t>RUA ARISTIDES ZORZI 1</t>
  </si>
  <si>
    <t>RUA ALEXANDRINO RODRIGUES 3 A 7</t>
  </si>
  <si>
    <t>RUA PEDRO DE CAMPOS 2 A 6</t>
  </si>
  <si>
    <t>R. P. 1</t>
  </si>
  <si>
    <t>RUA ARGEMIRO MAXIMIANO TRINDADE 1</t>
  </si>
  <si>
    <t>RUA JOSE DOS SANTOS GODOI 1 A 3</t>
  </si>
  <si>
    <t>RUA JESUS BLASQUES 1</t>
  </si>
  <si>
    <t>RUA JORGE LAURINDO FERRIRA DE PAIVA 1 E 2</t>
  </si>
  <si>
    <t>RUA DR IVO GIUNTA 1 E 2</t>
  </si>
  <si>
    <t>RUA ENGENHEIRO JOAO BATISTA PACHECO 1 A 3</t>
  </si>
  <si>
    <t>COMO USAR ESTA PLANILHA</t>
  </si>
  <si>
    <t>Preencha SOMENTE as células destacadas em AMARELO na aba PLAN:</t>
  </si>
  <si>
    <t xml:space="preserve">  • Status: escolha na lista → Não iniciada, Em andamento ou Finalizada (define a cor da rua no mapa)</t>
  </si>
  <si>
    <t xml:space="preserve">  • Data Início / Data Fim: datas da obra (formato DD/MM/AAAA)</t>
  </si>
  <si>
    <t xml:space="preserve">  • Área (m²): área de recape da via</t>
  </si>
  <si>
    <t xml:space="preserve">  • Valor Estimado (R$): valor total estimado da obra na via</t>
  </si>
  <si>
    <t xml:space="preserve">  • % Concluído: percentual executado (digite 30 e pressione %, ou 0,30)</t>
  </si>
  <si>
    <t>As colunas CINZA são calculadas automaticamente — NÃO edite:</t>
  </si>
  <si>
    <t xml:space="preserve">  • Valor Medido = Valor Estimado × % Concluído</t>
  </si>
  <si>
    <t xml:space="preserve">  • Valor a Medir = Valor Estimado − Valor Medido</t>
  </si>
  <si>
    <t>Se você medir um valor diferente do calculado, pode digitar direto na coluna Valor Medido.</t>
  </si>
  <si>
    <t>IMPORTANTE:</t>
  </si>
  <si>
    <t xml:space="preserve">  • NÃO renomeie as colunas nem a aba "PLAN" — o site procura por esses nomes.</t>
  </si>
  <si>
    <t xml:space="preserve">  • Pode adicionar novas colunas à direita sem problema.</t>
  </si>
  <si>
    <t xml:space="preserve">  • Salve o arquivo com o MESMO nome (Ruas de Bauru.xlsx) na pasta do site.</t>
  </si>
  <si>
    <t xml:space="preserve">  • Recarregue o site (botão Atualizar) para ver os novos dados.</t>
  </si>
  <si>
    <t>Finalizada</t>
  </si>
  <si>
    <t>Em andamento</t>
  </si>
  <si>
    <t>24/08/206</t>
  </si>
  <si>
    <t>Valor Ago.26 (R$)</t>
  </si>
  <si>
    <t>Saldo a Medir (R$)</t>
  </si>
  <si>
    <t>Paralisada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</si>
</sst>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 &quot;#,##0.00"/>
  </numFmts>
  <fonts count="8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2"/>
      <color rgb="FF1F4E78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rgb="FFC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4" fontId="3" fillId="3" borderId="1" xfId="0" applyNumberFormat="1" applyFont="1" applyFill="1" applyBorder="1"/>
    <xf numFmtId="164" fontId="3" fillId="3" borderId="1" xfId="0" applyNumberFormat="1" applyFont="1" applyFill="1" applyBorder="1"/>
    <xf numFmtId="9" fontId="3" fillId="3" borderId="1" xfId="0" applyNumberFormat="1" applyFont="1" applyFill="1" applyBorder="1" applyAlignment="1">
      <alignment horizontal="center" vertical="center"/>
    </xf>
    <xf numFmtId="164" fontId="3" fillId="4" borderId="1" xfId="0" applyNumberFormat="1" applyFont="1" applyFill="1" applyBorder="1"/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164" fontId="1" fillId="3" borderId="1" xfId="0" applyNumberFormat="1" applyFont="1" applyFill="1" applyBorder="1"/>
    <xf numFmtId="4" fontId="3" fillId="3" borderId="1" xfId="0" applyNumberFormat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4"/>
  <sheetViews>
    <sheetView tabSelected="1" zoomScaleNormal="100" workbookViewId="0">
      <pane ySplit="1" topLeftCell="A2" activePane="bottomLeft" state="frozen"/>
      <selection pane="bottomLeft" activeCell="G25" sqref="G25"/>
    </sheetView>
  </sheetViews>
  <sheetFormatPr defaultColWidth="8.6640625" defaultRowHeight="14.4" x14ac:dyDescent="0.3"/>
  <cols>
    <col min="1" max="1" width="6" customWidth="1"/>
    <col min="2" max="2" width="26" customWidth="1"/>
    <col min="3" max="3" width="40" customWidth="1"/>
    <col min="4" max="4" width="12" customWidth="1"/>
    <col min="5" max="5" width="15" customWidth="1"/>
    <col min="6" max="7" width="13" customWidth="1"/>
    <col min="8" max="8" width="12" customWidth="1"/>
    <col min="9" max="9" width="17" customWidth="1"/>
    <col min="10" max="10" width="11" customWidth="1"/>
    <col min="11" max="12" width="16" customWidth="1"/>
  </cols>
  <sheetData>
    <row r="1" spans="1:12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197</v>
      </c>
      <c r="L1" s="1" t="s">
        <v>198</v>
      </c>
    </row>
    <row r="2" spans="1:12" ht="26.4" x14ac:dyDescent="0.3">
      <c r="A2" s="2">
        <v>1</v>
      </c>
      <c r="B2" s="3" t="s">
        <v>10</v>
      </c>
      <c r="C2" s="3" t="s">
        <v>11</v>
      </c>
      <c r="D2" s="2" t="s">
        <v>12</v>
      </c>
      <c r="E2" s="4" t="s">
        <v>195</v>
      </c>
      <c r="F2" s="5">
        <v>46258</v>
      </c>
      <c r="G2" s="5"/>
      <c r="H2" s="15">
        <v>5858.46</v>
      </c>
      <c r="I2" s="16">
        <v>591769.64</v>
      </c>
      <c r="J2" s="8">
        <v>0.3</v>
      </c>
      <c r="K2" s="17">
        <f t="shared" ref="K2:K33" si="0">IF($I2="","",$I2*$J2)</f>
        <v>177530.89199999999</v>
      </c>
      <c r="L2" s="17">
        <f t="shared" ref="L2:L33" si="1">IF($I2="","",$I2-$K2)</f>
        <v>414238.74800000002</v>
      </c>
    </row>
    <row r="3" spans="1:12" ht="26.4" x14ac:dyDescent="0.3">
      <c r="A3" s="2">
        <v>2</v>
      </c>
      <c r="B3" s="3" t="s">
        <v>10</v>
      </c>
      <c r="C3" s="3" t="s">
        <v>14</v>
      </c>
      <c r="D3" s="2" t="s">
        <v>12</v>
      </c>
      <c r="E3" s="4" t="s">
        <v>13</v>
      </c>
      <c r="F3" s="5"/>
      <c r="G3" s="5"/>
      <c r="H3" s="6"/>
      <c r="I3" s="16">
        <v>306249.08</v>
      </c>
      <c r="J3" s="8">
        <v>0</v>
      </c>
      <c r="K3" s="17">
        <f t="shared" si="0"/>
        <v>0</v>
      </c>
      <c r="L3" s="17">
        <f t="shared" si="1"/>
        <v>306249.08</v>
      </c>
    </row>
    <row r="4" spans="1:12" ht="26.4" x14ac:dyDescent="0.3">
      <c r="A4" s="2">
        <v>3</v>
      </c>
      <c r="B4" s="3" t="s">
        <v>10</v>
      </c>
      <c r="C4" s="3" t="s">
        <v>15</v>
      </c>
      <c r="D4" s="2" t="s">
        <v>12</v>
      </c>
      <c r="E4" s="4" t="s">
        <v>13</v>
      </c>
      <c r="F4" s="5"/>
      <c r="G4" s="5"/>
      <c r="H4" s="6"/>
      <c r="I4" s="16">
        <v>356730.17</v>
      </c>
      <c r="J4" s="8">
        <v>0</v>
      </c>
      <c r="K4" s="17">
        <f t="shared" si="0"/>
        <v>0</v>
      </c>
      <c r="L4" s="17">
        <f t="shared" si="1"/>
        <v>356730.17</v>
      </c>
    </row>
    <row r="5" spans="1:12" ht="26.4" x14ac:dyDescent="0.3">
      <c r="A5" s="2">
        <v>4</v>
      </c>
      <c r="B5" s="3" t="s">
        <v>10</v>
      </c>
      <c r="C5" s="3" t="s">
        <v>16</v>
      </c>
      <c r="D5" s="2" t="s">
        <v>12</v>
      </c>
      <c r="E5" s="4" t="s">
        <v>13</v>
      </c>
      <c r="F5" s="5"/>
      <c r="G5" s="5"/>
      <c r="H5" s="6"/>
      <c r="I5" s="16">
        <v>286363.38</v>
      </c>
      <c r="J5" s="8">
        <v>0</v>
      </c>
      <c r="K5" s="17">
        <f t="shared" si="0"/>
        <v>0</v>
      </c>
      <c r="L5" s="17">
        <f t="shared" si="1"/>
        <v>286363.38</v>
      </c>
    </row>
    <row r="6" spans="1:12" ht="26.4" x14ac:dyDescent="0.3">
      <c r="A6" s="2">
        <v>5</v>
      </c>
      <c r="B6" s="3" t="s">
        <v>10</v>
      </c>
      <c r="C6" s="3" t="s">
        <v>17</v>
      </c>
      <c r="D6" s="2" t="s">
        <v>12</v>
      </c>
      <c r="E6" s="4" t="s">
        <v>13</v>
      </c>
      <c r="F6" s="5"/>
      <c r="G6" s="5"/>
      <c r="H6" s="6"/>
      <c r="I6" s="16">
        <v>260373.8</v>
      </c>
      <c r="J6" s="8">
        <v>0</v>
      </c>
      <c r="K6" s="17">
        <f t="shared" si="0"/>
        <v>0</v>
      </c>
      <c r="L6" s="17">
        <f t="shared" si="1"/>
        <v>260373.8</v>
      </c>
    </row>
    <row r="7" spans="1:12" ht="26.4" x14ac:dyDescent="0.3">
      <c r="A7" s="2">
        <v>6</v>
      </c>
      <c r="B7" s="3" t="s">
        <v>10</v>
      </c>
      <c r="C7" s="3" t="s">
        <v>18</v>
      </c>
      <c r="D7" s="2" t="s">
        <v>12</v>
      </c>
      <c r="E7" s="4" t="s">
        <v>13</v>
      </c>
      <c r="F7" s="5"/>
      <c r="G7" s="5"/>
      <c r="H7" s="6"/>
      <c r="I7" s="16">
        <v>258040.94</v>
      </c>
      <c r="J7" s="8">
        <v>0</v>
      </c>
      <c r="K7" s="17">
        <f t="shared" si="0"/>
        <v>0</v>
      </c>
      <c r="L7" s="17">
        <f t="shared" si="1"/>
        <v>258040.94</v>
      </c>
    </row>
    <row r="8" spans="1:12" ht="26.4" x14ac:dyDescent="0.3">
      <c r="A8" s="2">
        <v>7</v>
      </c>
      <c r="B8" s="3" t="s">
        <v>10</v>
      </c>
      <c r="C8" s="3" t="s">
        <v>19</v>
      </c>
      <c r="D8" s="2" t="s">
        <v>12</v>
      </c>
      <c r="E8" s="4" t="s">
        <v>13</v>
      </c>
      <c r="F8" s="5"/>
      <c r="G8" s="5"/>
      <c r="H8" s="6"/>
      <c r="I8" s="16">
        <v>259128.07</v>
      </c>
      <c r="J8" s="8">
        <v>0</v>
      </c>
      <c r="K8" s="17">
        <f t="shared" si="0"/>
        <v>0</v>
      </c>
      <c r="L8" s="17">
        <f t="shared" si="1"/>
        <v>259128.07</v>
      </c>
    </row>
    <row r="9" spans="1:12" ht="26.4" x14ac:dyDescent="0.3">
      <c r="A9" s="2">
        <v>8</v>
      </c>
      <c r="B9" s="3" t="s">
        <v>10</v>
      </c>
      <c r="C9" s="3" t="s">
        <v>20</v>
      </c>
      <c r="D9" s="2" t="s">
        <v>12</v>
      </c>
      <c r="E9" s="4" t="s">
        <v>13</v>
      </c>
      <c r="F9" s="5"/>
      <c r="G9" s="5"/>
      <c r="H9" s="6"/>
      <c r="I9" s="16">
        <v>218573.14</v>
      </c>
      <c r="J9" s="8">
        <v>0</v>
      </c>
      <c r="K9" s="17">
        <f t="shared" si="0"/>
        <v>0</v>
      </c>
      <c r="L9" s="17">
        <f t="shared" si="1"/>
        <v>218573.14</v>
      </c>
    </row>
    <row r="10" spans="1:12" ht="26.4" x14ac:dyDescent="0.3">
      <c r="A10" s="2">
        <v>9</v>
      </c>
      <c r="B10" s="3" t="s">
        <v>10</v>
      </c>
      <c r="C10" s="3" t="s">
        <v>21</v>
      </c>
      <c r="D10" s="2" t="s">
        <v>12</v>
      </c>
      <c r="E10" s="4" t="s">
        <v>13</v>
      </c>
      <c r="F10" s="5"/>
      <c r="G10" s="5"/>
      <c r="H10" s="6"/>
      <c r="I10" s="16">
        <v>201099.51999999999</v>
      </c>
      <c r="J10" s="8">
        <v>0</v>
      </c>
      <c r="K10" s="17">
        <f t="shared" si="0"/>
        <v>0</v>
      </c>
      <c r="L10" s="17">
        <f t="shared" si="1"/>
        <v>201099.51999999999</v>
      </c>
    </row>
    <row r="11" spans="1:12" ht="26.4" x14ac:dyDescent="0.3">
      <c r="A11" s="2">
        <v>10</v>
      </c>
      <c r="B11" s="3" t="s">
        <v>10</v>
      </c>
      <c r="C11" s="3" t="s">
        <v>22</v>
      </c>
      <c r="D11" s="2" t="s">
        <v>12</v>
      </c>
      <c r="E11" s="4" t="s">
        <v>13</v>
      </c>
      <c r="F11" s="5"/>
      <c r="G11" s="5"/>
      <c r="H11" s="6"/>
      <c r="I11" s="16">
        <v>185431.94</v>
      </c>
      <c r="J11" s="8">
        <v>0</v>
      </c>
      <c r="K11" s="17">
        <f t="shared" si="0"/>
        <v>0</v>
      </c>
      <c r="L11" s="17">
        <f t="shared" si="1"/>
        <v>185431.94</v>
      </c>
    </row>
    <row r="12" spans="1:12" ht="26.4" x14ac:dyDescent="0.3">
      <c r="A12" s="2">
        <v>11</v>
      </c>
      <c r="B12" s="3" t="s">
        <v>10</v>
      </c>
      <c r="C12" s="3" t="s">
        <v>23</v>
      </c>
      <c r="D12" s="2" t="s">
        <v>12</v>
      </c>
      <c r="E12" s="4" t="s">
        <v>13</v>
      </c>
      <c r="F12" s="5"/>
      <c r="G12" s="5"/>
      <c r="H12" s="6"/>
      <c r="I12" s="16">
        <v>128974.65</v>
      </c>
      <c r="J12" s="8">
        <v>0</v>
      </c>
      <c r="K12" s="17">
        <f t="shared" si="0"/>
        <v>0</v>
      </c>
      <c r="L12" s="17">
        <f t="shared" si="1"/>
        <v>128974.65</v>
      </c>
    </row>
    <row r="13" spans="1:12" ht="26.4" x14ac:dyDescent="0.3">
      <c r="A13" s="2">
        <v>12</v>
      </c>
      <c r="B13" s="3" t="s">
        <v>10</v>
      </c>
      <c r="C13" s="3" t="s">
        <v>24</v>
      </c>
      <c r="D13" s="2" t="s">
        <v>12</v>
      </c>
      <c r="E13" s="19" t="s">
        <v>199</v>
      </c>
      <c r="F13" s="5"/>
      <c r="G13" s="5"/>
      <c r="H13" s="6"/>
      <c r="I13" s="16"/>
      <c r="J13" s="8">
        <v>0</v>
      </c>
      <c r="K13" s="17" t="str">
        <f t="shared" si="0"/>
        <v/>
      </c>
      <c r="L13" s="17" t="str">
        <f t="shared" si="1"/>
        <v/>
      </c>
    </row>
    <row r="14" spans="1:12" ht="26.4" x14ac:dyDescent="0.3">
      <c r="A14" s="2">
        <v>13</v>
      </c>
      <c r="B14" s="3" t="s">
        <v>10</v>
      </c>
      <c r="C14" s="3" t="s">
        <v>25</v>
      </c>
      <c r="D14" s="2" t="s">
        <v>12</v>
      </c>
      <c r="E14" s="19" t="s">
        <v>199</v>
      </c>
      <c r="F14" s="5"/>
      <c r="G14" s="5"/>
      <c r="H14" s="6"/>
      <c r="I14" s="16"/>
      <c r="J14" s="8">
        <v>0</v>
      </c>
      <c r="K14" s="17" t="str">
        <f t="shared" si="0"/>
        <v/>
      </c>
      <c r="L14" s="17" t="str">
        <f t="shared" si="1"/>
        <v/>
      </c>
    </row>
    <row r="15" spans="1:12" ht="26.4" x14ac:dyDescent="0.3">
      <c r="A15" s="2">
        <v>14</v>
      </c>
      <c r="B15" s="3" t="s">
        <v>10</v>
      </c>
      <c r="C15" s="3" t="s">
        <v>26</v>
      </c>
      <c r="D15" s="2" t="s">
        <v>12</v>
      </c>
      <c r="E15" s="19" t="s">
        <v>199</v>
      </c>
      <c r="F15" s="5"/>
      <c r="G15" s="5"/>
      <c r="H15" s="6"/>
      <c r="I15" s="16"/>
      <c r="J15" s="8">
        <v>0</v>
      </c>
      <c r="K15" s="17" t="str">
        <f t="shared" si="0"/>
        <v/>
      </c>
      <c r="L15" s="17" t="str">
        <f t="shared" si="1"/>
        <v/>
      </c>
    </row>
    <row r="16" spans="1:12" ht="26.4" x14ac:dyDescent="0.3">
      <c r="A16" s="2">
        <v>15</v>
      </c>
      <c r="B16" s="3" t="s">
        <v>10</v>
      </c>
      <c r="C16" s="3" t="s">
        <v>27</v>
      </c>
      <c r="D16" s="2" t="s">
        <v>12</v>
      </c>
      <c r="E16" s="4" t="s">
        <v>195</v>
      </c>
      <c r="F16" s="5">
        <v>46256</v>
      </c>
      <c r="G16" s="5"/>
      <c r="H16" s="15">
        <v>5300.28</v>
      </c>
      <c r="I16" s="16">
        <v>470440.49</v>
      </c>
      <c r="J16" s="8">
        <v>0.98</v>
      </c>
      <c r="K16" s="17">
        <f t="shared" si="0"/>
        <v>461031.6802</v>
      </c>
      <c r="L16" s="17">
        <f>IF($I16="","",$I16-$K16)</f>
        <v>9408.8097999999882</v>
      </c>
    </row>
    <row r="17" spans="1:12" ht="26.4" x14ac:dyDescent="0.3">
      <c r="A17" s="2">
        <v>16</v>
      </c>
      <c r="B17" s="3" t="s">
        <v>10</v>
      </c>
      <c r="C17" s="3" t="s">
        <v>28</v>
      </c>
      <c r="D17" s="2" t="s">
        <v>12</v>
      </c>
      <c r="E17" s="4" t="s">
        <v>195</v>
      </c>
      <c r="F17" s="5">
        <v>46256</v>
      </c>
      <c r="G17" s="5"/>
      <c r="H17" s="15">
        <v>5248.91</v>
      </c>
      <c r="I17" s="16">
        <v>482740.55</v>
      </c>
      <c r="J17" s="8">
        <v>0.6</v>
      </c>
      <c r="K17" s="17">
        <f t="shared" si="0"/>
        <v>289644.32999999996</v>
      </c>
      <c r="L17" s="17">
        <f>IF($I17="","",$I17-$K17)</f>
        <v>193096.22000000003</v>
      </c>
    </row>
    <row r="18" spans="1:12" ht="26.4" x14ac:dyDescent="0.3">
      <c r="A18" s="2">
        <v>17</v>
      </c>
      <c r="B18" s="3" t="s">
        <v>10</v>
      </c>
      <c r="C18" s="3" t="s">
        <v>29</v>
      </c>
      <c r="D18" s="2" t="s">
        <v>12</v>
      </c>
      <c r="E18" s="4" t="s">
        <v>13</v>
      </c>
      <c r="F18" s="5"/>
      <c r="G18" s="5"/>
      <c r="H18" s="6"/>
      <c r="I18" s="16">
        <v>132520.51</v>
      </c>
      <c r="J18" s="8">
        <v>0</v>
      </c>
      <c r="K18" s="17">
        <f t="shared" si="0"/>
        <v>0</v>
      </c>
      <c r="L18" s="17">
        <f t="shared" si="1"/>
        <v>132520.51</v>
      </c>
    </row>
    <row r="19" spans="1:12" ht="26.4" x14ac:dyDescent="0.3">
      <c r="A19" s="2">
        <v>18</v>
      </c>
      <c r="B19" s="3" t="s">
        <v>10</v>
      </c>
      <c r="C19" s="3" t="s">
        <v>30</v>
      </c>
      <c r="D19" s="2" t="s">
        <v>12</v>
      </c>
      <c r="E19" s="4" t="s">
        <v>194</v>
      </c>
      <c r="F19" s="5">
        <v>46256</v>
      </c>
      <c r="G19" s="5">
        <v>46258</v>
      </c>
      <c r="H19" s="15">
        <v>841.27</v>
      </c>
      <c r="I19" s="16">
        <v>76201.47</v>
      </c>
      <c r="J19" s="8">
        <v>1</v>
      </c>
      <c r="K19" s="17">
        <f t="shared" si="0"/>
        <v>76201.47</v>
      </c>
      <c r="L19" s="17">
        <f t="shared" si="1"/>
        <v>0</v>
      </c>
    </row>
    <row r="20" spans="1:12" ht="26.4" x14ac:dyDescent="0.3">
      <c r="A20" s="2">
        <v>19</v>
      </c>
      <c r="B20" s="3" t="s">
        <v>10</v>
      </c>
      <c r="C20" s="3" t="s">
        <v>31</v>
      </c>
      <c r="D20" s="2" t="s">
        <v>12</v>
      </c>
      <c r="E20" s="4" t="s">
        <v>194</v>
      </c>
      <c r="F20" s="5">
        <v>46250</v>
      </c>
      <c r="G20" s="5">
        <v>46256</v>
      </c>
      <c r="H20" s="15">
        <v>1553.12</v>
      </c>
      <c r="I20" s="16">
        <v>139720.44</v>
      </c>
      <c r="J20" s="8">
        <v>1</v>
      </c>
      <c r="K20" s="17">
        <f t="shared" si="0"/>
        <v>139720.44</v>
      </c>
      <c r="L20" s="17">
        <f t="shared" si="1"/>
        <v>0</v>
      </c>
    </row>
    <row r="21" spans="1:12" ht="26.4" x14ac:dyDescent="0.3">
      <c r="A21" s="2">
        <v>20</v>
      </c>
      <c r="B21" s="3" t="s">
        <v>10</v>
      </c>
      <c r="C21" s="3" t="s">
        <v>32</v>
      </c>
      <c r="D21" s="2" t="s">
        <v>12</v>
      </c>
      <c r="E21" s="4" t="s">
        <v>194</v>
      </c>
      <c r="F21" s="5">
        <v>46249</v>
      </c>
      <c r="G21" s="5">
        <v>46255</v>
      </c>
      <c r="H21" s="15">
        <v>4307.17</v>
      </c>
      <c r="I21" s="16">
        <v>395791.78</v>
      </c>
      <c r="J21" s="8">
        <v>1</v>
      </c>
      <c r="K21" s="17">
        <f t="shared" si="0"/>
        <v>395791.78</v>
      </c>
      <c r="L21" s="17">
        <f t="shared" si="1"/>
        <v>0</v>
      </c>
    </row>
    <row r="22" spans="1:12" ht="26.4" x14ac:dyDescent="0.3">
      <c r="A22" s="2">
        <v>21</v>
      </c>
      <c r="B22" s="3" t="s">
        <v>10</v>
      </c>
      <c r="C22" s="3" t="s">
        <v>33</v>
      </c>
      <c r="D22" s="2" t="s">
        <v>12</v>
      </c>
      <c r="E22" s="4" t="s">
        <v>194</v>
      </c>
      <c r="F22" s="18" t="s">
        <v>196</v>
      </c>
      <c r="G22" s="5">
        <v>46259</v>
      </c>
      <c r="H22" s="15">
        <v>1232.2</v>
      </c>
      <c r="I22" s="16">
        <v>115475.48</v>
      </c>
      <c r="J22" s="8">
        <v>1</v>
      </c>
      <c r="K22" s="17">
        <f t="shared" si="0"/>
        <v>115475.48</v>
      </c>
      <c r="L22" s="17">
        <f t="shared" si="1"/>
        <v>0</v>
      </c>
    </row>
    <row r="23" spans="1:12" ht="26.4" x14ac:dyDescent="0.3">
      <c r="A23" s="2">
        <v>22</v>
      </c>
      <c r="B23" s="3" t="s">
        <v>10</v>
      </c>
      <c r="C23" s="3" t="s">
        <v>34</v>
      </c>
      <c r="D23" s="2" t="s">
        <v>12</v>
      </c>
      <c r="E23" s="4" t="s">
        <v>194</v>
      </c>
      <c r="F23" s="5">
        <v>46258</v>
      </c>
      <c r="G23" s="5">
        <v>46258</v>
      </c>
      <c r="H23" s="15">
        <v>794.91</v>
      </c>
      <c r="I23" s="16">
        <v>72962.759999999995</v>
      </c>
      <c r="J23" s="8">
        <v>1</v>
      </c>
      <c r="K23" s="17">
        <f t="shared" si="0"/>
        <v>72962.759999999995</v>
      </c>
      <c r="L23" s="17">
        <f t="shared" si="1"/>
        <v>0</v>
      </c>
    </row>
    <row r="24" spans="1:12" ht="26.4" x14ac:dyDescent="0.3">
      <c r="A24" s="2">
        <v>23</v>
      </c>
      <c r="B24" s="3" t="s">
        <v>10</v>
      </c>
      <c r="C24" s="3" t="s">
        <v>35</v>
      </c>
      <c r="D24" s="2" t="s">
        <v>12</v>
      </c>
      <c r="E24" s="4" t="s">
        <v>195</v>
      </c>
      <c r="F24" s="5">
        <v>46259</v>
      </c>
      <c r="G24" s="5"/>
      <c r="H24" s="15">
        <v>842.66</v>
      </c>
      <c r="I24" s="16">
        <v>78788.740000000005</v>
      </c>
      <c r="J24" s="8">
        <v>0.3</v>
      </c>
      <c r="K24" s="17">
        <f t="shared" si="0"/>
        <v>23636.621999999999</v>
      </c>
      <c r="L24" s="17">
        <f t="shared" si="1"/>
        <v>55152.118000000002</v>
      </c>
    </row>
    <row r="25" spans="1:12" ht="26.4" x14ac:dyDescent="0.3">
      <c r="A25" s="2">
        <v>24</v>
      </c>
      <c r="B25" s="3" t="s">
        <v>10</v>
      </c>
      <c r="C25" s="3" t="s">
        <v>36</v>
      </c>
      <c r="D25" s="2" t="s">
        <v>12</v>
      </c>
      <c r="E25" s="4" t="s">
        <v>195</v>
      </c>
      <c r="F25" s="5">
        <v>46254</v>
      </c>
      <c r="G25" s="5"/>
      <c r="H25" s="15">
        <v>3366.93</v>
      </c>
      <c r="I25" s="16">
        <v>299253.58</v>
      </c>
      <c r="J25" s="8">
        <v>0.98</v>
      </c>
      <c r="K25" s="17">
        <f t="shared" si="0"/>
        <v>293268.50839999999</v>
      </c>
      <c r="L25" s="17">
        <f t="shared" si="1"/>
        <v>5985.0716000000248</v>
      </c>
    </row>
    <row r="26" spans="1:12" ht="26.4" x14ac:dyDescent="0.3">
      <c r="A26" s="2">
        <v>25</v>
      </c>
      <c r="B26" s="3" t="s">
        <v>10</v>
      </c>
      <c r="C26" s="3" t="s">
        <v>37</v>
      </c>
      <c r="D26" s="2" t="s">
        <v>12</v>
      </c>
      <c r="E26" s="4" t="s">
        <v>194</v>
      </c>
      <c r="F26" s="5">
        <v>46238</v>
      </c>
      <c r="G26" s="5">
        <v>46239</v>
      </c>
      <c r="H26" s="15">
        <v>3463.19</v>
      </c>
      <c r="I26" s="16">
        <v>299196.96000000002</v>
      </c>
      <c r="J26" s="8">
        <v>1</v>
      </c>
      <c r="K26" s="17">
        <f t="shared" si="0"/>
        <v>299196.96000000002</v>
      </c>
      <c r="L26" s="17">
        <f t="shared" si="1"/>
        <v>0</v>
      </c>
    </row>
    <row r="27" spans="1:12" ht="26.4" x14ac:dyDescent="0.3">
      <c r="A27" s="2">
        <v>26</v>
      </c>
      <c r="B27" s="3" t="s">
        <v>10</v>
      </c>
      <c r="C27" s="3" t="s">
        <v>38</v>
      </c>
      <c r="D27" s="2" t="s">
        <v>12</v>
      </c>
      <c r="E27" s="4" t="s">
        <v>194</v>
      </c>
      <c r="F27" s="5">
        <v>46241</v>
      </c>
      <c r="G27" s="5">
        <v>46247</v>
      </c>
      <c r="H27" s="15">
        <v>2490.02</v>
      </c>
      <c r="I27" s="16">
        <v>215179.36</v>
      </c>
      <c r="J27" s="8">
        <v>1</v>
      </c>
      <c r="K27" s="17">
        <f t="shared" si="0"/>
        <v>215179.36</v>
      </c>
      <c r="L27" s="17">
        <f t="shared" si="1"/>
        <v>0</v>
      </c>
    </row>
    <row r="28" spans="1:12" ht="26.4" x14ac:dyDescent="0.3">
      <c r="A28" s="2">
        <v>27</v>
      </c>
      <c r="B28" s="3" t="s">
        <v>10</v>
      </c>
      <c r="C28" s="3" t="s">
        <v>39</v>
      </c>
      <c r="D28" s="2" t="s">
        <v>12</v>
      </c>
      <c r="E28" s="4" t="s">
        <v>194</v>
      </c>
      <c r="F28" s="5">
        <v>46240</v>
      </c>
      <c r="G28" s="5">
        <v>46246</v>
      </c>
      <c r="H28" s="15">
        <v>2903.81</v>
      </c>
      <c r="I28" s="16">
        <v>251939.78</v>
      </c>
      <c r="J28" s="8">
        <v>1</v>
      </c>
      <c r="K28" s="17">
        <f t="shared" si="0"/>
        <v>251939.78</v>
      </c>
      <c r="L28" s="17">
        <f t="shared" si="1"/>
        <v>0</v>
      </c>
    </row>
    <row r="29" spans="1:12" ht="26.4" x14ac:dyDescent="0.3">
      <c r="A29" s="2">
        <v>28</v>
      </c>
      <c r="B29" s="3" t="s">
        <v>10</v>
      </c>
      <c r="C29" s="3" t="s">
        <v>40</v>
      </c>
      <c r="D29" s="2" t="s">
        <v>12</v>
      </c>
      <c r="E29" s="4" t="s">
        <v>194</v>
      </c>
      <c r="F29" s="5">
        <v>46247</v>
      </c>
      <c r="G29" s="5">
        <v>46248</v>
      </c>
      <c r="H29" s="15">
        <v>2801.81</v>
      </c>
      <c r="I29" s="16">
        <v>241850.6</v>
      </c>
      <c r="J29" s="8">
        <v>1</v>
      </c>
      <c r="K29" s="17">
        <f t="shared" si="0"/>
        <v>241850.6</v>
      </c>
      <c r="L29" s="17">
        <f t="shared" si="1"/>
        <v>0</v>
      </c>
    </row>
    <row r="30" spans="1:12" ht="26.4" x14ac:dyDescent="0.3">
      <c r="A30" s="2">
        <v>29</v>
      </c>
      <c r="B30" s="3" t="s">
        <v>10</v>
      </c>
      <c r="C30" s="3" t="s">
        <v>41</v>
      </c>
      <c r="D30" s="2" t="s">
        <v>12</v>
      </c>
      <c r="E30" s="4" t="s">
        <v>194</v>
      </c>
      <c r="F30" s="5">
        <v>46244</v>
      </c>
      <c r="G30" s="5">
        <v>46247</v>
      </c>
      <c r="H30" s="15">
        <v>2223.56</v>
      </c>
      <c r="I30" s="16">
        <v>191825.44</v>
      </c>
      <c r="J30" s="8">
        <v>1</v>
      </c>
      <c r="K30" s="17">
        <f t="shared" si="0"/>
        <v>191825.44</v>
      </c>
      <c r="L30" s="17">
        <f t="shared" si="1"/>
        <v>0</v>
      </c>
    </row>
    <row r="31" spans="1:12" ht="26.4" x14ac:dyDescent="0.3">
      <c r="A31" s="2">
        <v>30</v>
      </c>
      <c r="B31" s="3" t="s">
        <v>10</v>
      </c>
      <c r="C31" s="3" t="s">
        <v>42</v>
      </c>
      <c r="D31" s="2" t="s">
        <v>12</v>
      </c>
      <c r="E31" s="4" t="s">
        <v>194</v>
      </c>
      <c r="F31" s="5">
        <v>46246</v>
      </c>
      <c r="G31" s="5">
        <v>46248</v>
      </c>
      <c r="H31" s="15">
        <v>2008.79</v>
      </c>
      <c r="I31" s="16">
        <v>173736.07</v>
      </c>
      <c r="J31" s="8">
        <v>1</v>
      </c>
      <c r="K31" s="17">
        <f t="shared" si="0"/>
        <v>173736.07</v>
      </c>
      <c r="L31" s="17">
        <f t="shared" si="1"/>
        <v>0</v>
      </c>
    </row>
    <row r="32" spans="1:12" ht="26.4" x14ac:dyDescent="0.3">
      <c r="A32" s="2">
        <v>31</v>
      </c>
      <c r="B32" s="3" t="s">
        <v>10</v>
      </c>
      <c r="C32" s="3" t="s">
        <v>43</v>
      </c>
      <c r="D32" s="2" t="s">
        <v>12</v>
      </c>
      <c r="E32" s="4" t="s">
        <v>194</v>
      </c>
      <c r="F32" s="5">
        <v>46239</v>
      </c>
      <c r="G32" s="5">
        <v>46245</v>
      </c>
      <c r="H32" s="15">
        <v>3238.1</v>
      </c>
      <c r="I32" s="16">
        <v>279902.07</v>
      </c>
      <c r="J32" s="8">
        <v>1</v>
      </c>
      <c r="K32" s="17">
        <f t="shared" si="0"/>
        <v>279902.07</v>
      </c>
      <c r="L32" s="17">
        <f t="shared" si="1"/>
        <v>0</v>
      </c>
    </row>
    <row r="33" spans="1:12" ht="26.4" x14ac:dyDescent="0.3">
      <c r="A33" s="2">
        <v>32</v>
      </c>
      <c r="B33" s="3" t="s">
        <v>10</v>
      </c>
      <c r="C33" s="3" t="s">
        <v>44</v>
      </c>
      <c r="D33" s="2" t="s">
        <v>12</v>
      </c>
      <c r="E33" s="4" t="s">
        <v>13</v>
      </c>
      <c r="F33" s="5"/>
      <c r="G33" s="5"/>
      <c r="H33" s="6"/>
      <c r="I33" s="16">
        <v>12971.24</v>
      </c>
      <c r="J33" s="8">
        <v>0</v>
      </c>
      <c r="K33" s="17">
        <f t="shared" si="0"/>
        <v>0</v>
      </c>
      <c r="L33" s="17">
        <f t="shared" si="1"/>
        <v>12971.24</v>
      </c>
    </row>
    <row r="34" spans="1:12" ht="26.4" x14ac:dyDescent="0.3">
      <c r="A34" s="2">
        <v>33</v>
      </c>
      <c r="B34" s="3" t="s">
        <v>10</v>
      </c>
      <c r="C34" s="3" t="s">
        <v>45</v>
      </c>
      <c r="D34" s="2" t="s">
        <v>12</v>
      </c>
      <c r="E34" s="4" t="s">
        <v>194</v>
      </c>
      <c r="F34" s="5">
        <v>46247</v>
      </c>
      <c r="G34" s="5">
        <v>46249</v>
      </c>
      <c r="H34" s="15">
        <v>1551.22</v>
      </c>
      <c r="I34" s="16">
        <v>134266.01999999999</v>
      </c>
      <c r="J34" s="8">
        <v>1</v>
      </c>
      <c r="K34" s="17">
        <f t="shared" ref="K34:K65" si="2">IF($I34="","",$I34*$J34)</f>
        <v>134266.01999999999</v>
      </c>
      <c r="L34" s="17">
        <f t="shared" ref="L34:L65" si="3">IF($I34="","",$I34-$K34)</f>
        <v>0</v>
      </c>
    </row>
    <row r="35" spans="1:12" ht="26.4" x14ac:dyDescent="0.3">
      <c r="A35" s="2">
        <v>34</v>
      </c>
      <c r="B35" s="3" t="s">
        <v>10</v>
      </c>
      <c r="C35" s="3" t="s">
        <v>46</v>
      </c>
      <c r="D35" s="2" t="s">
        <v>12</v>
      </c>
      <c r="E35" s="4" t="s">
        <v>195</v>
      </c>
      <c r="F35" s="5">
        <v>46250</v>
      </c>
      <c r="G35" s="5"/>
      <c r="H35" s="15">
        <v>3431.38</v>
      </c>
      <c r="I35" s="16">
        <v>324885.61</v>
      </c>
      <c r="J35" s="8">
        <v>0.8</v>
      </c>
      <c r="K35" s="17">
        <f t="shared" si="2"/>
        <v>259908.48800000001</v>
      </c>
      <c r="L35" s="17">
        <f t="shared" si="3"/>
        <v>64977.121999999974</v>
      </c>
    </row>
    <row r="36" spans="1:12" ht="26.4" x14ac:dyDescent="0.3">
      <c r="A36" s="2">
        <v>35</v>
      </c>
      <c r="B36" s="3" t="s">
        <v>10</v>
      </c>
      <c r="C36" s="3" t="s">
        <v>47</v>
      </c>
      <c r="D36" s="2" t="s">
        <v>12</v>
      </c>
      <c r="E36" s="4" t="s">
        <v>195</v>
      </c>
      <c r="F36" s="5">
        <v>46249</v>
      </c>
      <c r="G36" s="5"/>
      <c r="H36" s="15">
        <v>2616.17</v>
      </c>
      <c r="I36" s="16">
        <v>268200.84000000003</v>
      </c>
      <c r="J36" s="8">
        <v>0.6</v>
      </c>
      <c r="K36" s="17">
        <f t="shared" si="2"/>
        <v>160920.50400000002</v>
      </c>
      <c r="L36" s="17">
        <f t="shared" si="3"/>
        <v>107280.33600000001</v>
      </c>
    </row>
    <row r="37" spans="1:12" ht="26.4" x14ac:dyDescent="0.3">
      <c r="A37" s="2">
        <v>36</v>
      </c>
      <c r="B37" s="3" t="s">
        <v>10</v>
      </c>
      <c r="C37" s="3" t="s">
        <v>48</v>
      </c>
      <c r="D37" s="2" t="s">
        <v>12</v>
      </c>
      <c r="E37" s="19" t="s">
        <v>199</v>
      </c>
      <c r="F37" s="5"/>
      <c r="G37" s="5"/>
      <c r="H37" s="6"/>
      <c r="I37" s="16"/>
      <c r="J37" s="8">
        <v>0</v>
      </c>
      <c r="K37" s="17" t="str">
        <f t="shared" si="2"/>
        <v/>
      </c>
      <c r="L37" s="17" t="str">
        <f t="shared" si="3"/>
        <v/>
      </c>
    </row>
    <row r="38" spans="1:12" ht="26.4" x14ac:dyDescent="0.3">
      <c r="A38" s="2">
        <v>37</v>
      </c>
      <c r="B38" s="3" t="s">
        <v>10</v>
      </c>
      <c r="C38" s="3" t="s">
        <v>49</v>
      </c>
      <c r="D38" s="2" t="s">
        <v>12</v>
      </c>
      <c r="E38" s="19" t="s">
        <v>199</v>
      </c>
      <c r="F38" s="5"/>
      <c r="G38" s="5"/>
      <c r="H38" s="6"/>
      <c r="I38" s="16"/>
      <c r="J38" s="8">
        <v>0</v>
      </c>
      <c r="K38" s="17" t="str">
        <f t="shared" si="2"/>
        <v/>
      </c>
      <c r="L38" s="17" t="str">
        <f t="shared" si="3"/>
        <v/>
      </c>
    </row>
    <row r="39" spans="1:12" ht="26.4" x14ac:dyDescent="0.3">
      <c r="A39" s="2">
        <v>38</v>
      </c>
      <c r="B39" s="3" t="s">
        <v>10</v>
      </c>
      <c r="C39" s="3" t="s">
        <v>50</v>
      </c>
      <c r="D39" s="2" t="s">
        <v>12</v>
      </c>
      <c r="E39" s="4" t="s">
        <v>13</v>
      </c>
      <c r="F39" s="5"/>
      <c r="G39" s="5"/>
      <c r="H39" s="6"/>
      <c r="I39" s="16">
        <v>165383.5</v>
      </c>
      <c r="J39" s="8">
        <v>0</v>
      </c>
      <c r="K39" s="17">
        <f t="shared" si="2"/>
        <v>0</v>
      </c>
      <c r="L39" s="17">
        <f t="shared" si="3"/>
        <v>165383.5</v>
      </c>
    </row>
    <row r="40" spans="1:12" ht="26.4" x14ac:dyDescent="0.3">
      <c r="A40" s="2">
        <v>39</v>
      </c>
      <c r="B40" s="3" t="s">
        <v>10</v>
      </c>
      <c r="C40" s="3" t="s">
        <v>51</v>
      </c>
      <c r="D40" s="2" t="s">
        <v>12</v>
      </c>
      <c r="E40" s="4" t="s">
        <v>13</v>
      </c>
      <c r="F40" s="5"/>
      <c r="G40" s="5"/>
      <c r="H40" s="6"/>
      <c r="I40" s="16">
        <v>102730.08</v>
      </c>
      <c r="J40" s="8">
        <v>0</v>
      </c>
      <c r="K40" s="17">
        <f t="shared" si="2"/>
        <v>0</v>
      </c>
      <c r="L40" s="17">
        <f t="shared" si="3"/>
        <v>102730.08</v>
      </c>
    </row>
    <row r="41" spans="1:12" ht="26.4" x14ac:dyDescent="0.3">
      <c r="A41" s="2">
        <v>40</v>
      </c>
      <c r="B41" s="3" t="s">
        <v>10</v>
      </c>
      <c r="C41" s="3" t="s">
        <v>52</v>
      </c>
      <c r="D41" s="2" t="s">
        <v>12</v>
      </c>
      <c r="E41" s="19" t="s">
        <v>199</v>
      </c>
      <c r="F41" s="5"/>
      <c r="G41" s="5"/>
      <c r="H41" s="6"/>
      <c r="I41" s="16"/>
      <c r="J41" s="8">
        <v>0</v>
      </c>
      <c r="K41" s="17" t="str">
        <f t="shared" si="2"/>
        <v/>
      </c>
      <c r="L41" s="17" t="str">
        <f t="shared" si="3"/>
        <v/>
      </c>
    </row>
    <row r="42" spans="1:12" ht="26.4" x14ac:dyDescent="0.3">
      <c r="A42" s="2">
        <v>41</v>
      </c>
      <c r="B42" s="3" t="s">
        <v>10</v>
      </c>
      <c r="C42" s="3" t="s">
        <v>53</v>
      </c>
      <c r="D42" s="2" t="s">
        <v>12</v>
      </c>
      <c r="E42" s="19" t="s">
        <v>199</v>
      </c>
      <c r="F42" s="5"/>
      <c r="G42" s="5"/>
      <c r="H42" s="6"/>
      <c r="I42" s="16"/>
      <c r="J42" s="8">
        <v>0</v>
      </c>
      <c r="K42" s="17" t="str">
        <f t="shared" si="2"/>
        <v/>
      </c>
      <c r="L42" s="17" t="str">
        <f t="shared" si="3"/>
        <v/>
      </c>
    </row>
    <row r="43" spans="1:12" ht="26.4" x14ac:dyDescent="0.3">
      <c r="A43" s="2">
        <v>42</v>
      </c>
      <c r="B43" s="3" t="s">
        <v>10</v>
      </c>
      <c r="C43" s="3" t="s">
        <v>54</v>
      </c>
      <c r="D43" s="2" t="s">
        <v>12</v>
      </c>
      <c r="E43" s="4" t="s">
        <v>13</v>
      </c>
      <c r="F43" s="5"/>
      <c r="G43" s="5"/>
      <c r="H43" s="6"/>
      <c r="I43" s="16">
        <v>102673.41</v>
      </c>
      <c r="J43" s="8">
        <v>0</v>
      </c>
      <c r="K43" s="17">
        <f t="shared" si="2"/>
        <v>0</v>
      </c>
      <c r="L43" s="17">
        <f t="shared" si="3"/>
        <v>102673.41</v>
      </c>
    </row>
    <row r="44" spans="1:12" ht="26.4" x14ac:dyDescent="0.3">
      <c r="A44" s="2">
        <v>43</v>
      </c>
      <c r="B44" s="3" t="s">
        <v>10</v>
      </c>
      <c r="C44" s="3" t="s">
        <v>55</v>
      </c>
      <c r="D44" s="2" t="s">
        <v>12</v>
      </c>
      <c r="E44" s="19" t="s">
        <v>199</v>
      </c>
      <c r="F44" s="5"/>
      <c r="G44" s="5"/>
      <c r="H44" s="6"/>
      <c r="I44" s="16"/>
      <c r="J44" s="8">
        <v>0</v>
      </c>
      <c r="K44" s="17" t="str">
        <f t="shared" si="2"/>
        <v/>
      </c>
      <c r="L44" s="17" t="str">
        <f t="shared" si="3"/>
        <v/>
      </c>
    </row>
    <row r="45" spans="1:12" ht="26.4" x14ac:dyDescent="0.3">
      <c r="A45" s="2">
        <v>44</v>
      </c>
      <c r="B45" s="3" t="s">
        <v>56</v>
      </c>
      <c r="C45" s="3" t="s">
        <v>57</v>
      </c>
      <c r="D45" s="2" t="s">
        <v>12</v>
      </c>
      <c r="E45" s="4" t="s">
        <v>13</v>
      </c>
      <c r="F45" s="5"/>
      <c r="G45" s="5"/>
      <c r="H45" s="6"/>
      <c r="I45" s="7"/>
      <c r="J45" s="8">
        <v>0</v>
      </c>
      <c r="K45" s="17" t="str">
        <f t="shared" si="2"/>
        <v/>
      </c>
      <c r="L45" s="17" t="str">
        <f t="shared" si="3"/>
        <v/>
      </c>
    </row>
    <row r="46" spans="1:12" ht="26.4" x14ac:dyDescent="0.3">
      <c r="A46" s="2">
        <v>45</v>
      </c>
      <c r="B46" s="3" t="s">
        <v>56</v>
      </c>
      <c r="C46" s="3" t="s">
        <v>58</v>
      </c>
      <c r="D46" s="2" t="s">
        <v>12</v>
      </c>
      <c r="E46" s="4" t="s">
        <v>13</v>
      </c>
      <c r="F46" s="5"/>
      <c r="G46" s="5"/>
      <c r="H46" s="6"/>
      <c r="I46" s="7"/>
      <c r="J46" s="8">
        <v>0</v>
      </c>
      <c r="K46" s="17" t="str">
        <f t="shared" si="2"/>
        <v/>
      </c>
      <c r="L46" s="17" t="str">
        <f t="shared" si="3"/>
        <v/>
      </c>
    </row>
    <row r="47" spans="1:12" ht="26.4" x14ac:dyDescent="0.3">
      <c r="A47" s="2">
        <v>46</v>
      </c>
      <c r="B47" s="3" t="s">
        <v>56</v>
      </c>
      <c r="C47" s="3" t="s">
        <v>59</v>
      </c>
      <c r="D47" s="2" t="s">
        <v>12</v>
      </c>
      <c r="E47" s="4" t="s">
        <v>13</v>
      </c>
      <c r="F47" s="5"/>
      <c r="G47" s="5"/>
      <c r="H47" s="6"/>
      <c r="I47" s="7"/>
      <c r="J47" s="8">
        <v>0</v>
      </c>
      <c r="K47" s="17" t="str">
        <f t="shared" si="2"/>
        <v/>
      </c>
      <c r="L47" s="17" t="str">
        <f t="shared" si="3"/>
        <v/>
      </c>
    </row>
    <row r="48" spans="1:12" ht="26.4" x14ac:dyDescent="0.3">
      <c r="A48" s="2">
        <v>47</v>
      </c>
      <c r="B48" s="3" t="s">
        <v>56</v>
      </c>
      <c r="C48" s="3" t="s">
        <v>60</v>
      </c>
      <c r="D48" s="2" t="s">
        <v>12</v>
      </c>
      <c r="E48" s="4" t="s">
        <v>13</v>
      </c>
      <c r="F48" s="5"/>
      <c r="G48" s="5"/>
      <c r="H48" s="6"/>
      <c r="I48" s="7"/>
      <c r="J48" s="8">
        <v>0</v>
      </c>
      <c r="K48" s="17" t="str">
        <f t="shared" si="2"/>
        <v/>
      </c>
      <c r="L48" s="17" t="str">
        <f t="shared" si="3"/>
        <v/>
      </c>
    </row>
    <row r="49" spans="1:12" ht="26.4" x14ac:dyDescent="0.3">
      <c r="A49" s="2">
        <v>48</v>
      </c>
      <c r="B49" s="3" t="s">
        <v>56</v>
      </c>
      <c r="C49" s="3" t="s">
        <v>61</v>
      </c>
      <c r="D49" s="2" t="s">
        <v>12</v>
      </c>
      <c r="E49" s="4" t="s">
        <v>13</v>
      </c>
      <c r="F49" s="5"/>
      <c r="G49" s="5"/>
      <c r="H49" s="6"/>
      <c r="I49" s="7"/>
      <c r="J49" s="8">
        <v>0</v>
      </c>
      <c r="K49" s="9" t="str">
        <f t="shared" si="2"/>
        <v/>
      </c>
      <c r="L49" s="9" t="str">
        <f t="shared" si="3"/>
        <v/>
      </c>
    </row>
    <row r="50" spans="1:12" ht="26.4" x14ac:dyDescent="0.3">
      <c r="A50" s="2">
        <v>49</v>
      </c>
      <c r="B50" s="3" t="s">
        <v>56</v>
      </c>
      <c r="C50" s="3" t="s">
        <v>62</v>
      </c>
      <c r="D50" s="2" t="s">
        <v>12</v>
      </c>
      <c r="E50" s="4" t="s">
        <v>13</v>
      </c>
      <c r="F50" s="5"/>
      <c r="G50" s="5"/>
      <c r="H50" s="6"/>
      <c r="I50" s="7"/>
      <c r="J50" s="8">
        <v>0</v>
      </c>
      <c r="K50" s="9" t="str">
        <f t="shared" si="2"/>
        <v/>
      </c>
      <c r="L50" s="9" t="str">
        <f t="shared" si="3"/>
        <v/>
      </c>
    </row>
    <row r="51" spans="1:12" ht="26.4" x14ac:dyDescent="0.3">
      <c r="A51" s="2">
        <v>50</v>
      </c>
      <c r="B51" s="3" t="s">
        <v>56</v>
      </c>
      <c r="C51" s="3" t="s">
        <v>63</v>
      </c>
      <c r="D51" s="2" t="s">
        <v>12</v>
      </c>
      <c r="E51" s="4" t="s">
        <v>13</v>
      </c>
      <c r="F51" s="5"/>
      <c r="G51" s="5"/>
      <c r="H51" s="6"/>
      <c r="I51" s="7"/>
      <c r="J51" s="8">
        <v>0</v>
      </c>
      <c r="K51" s="9" t="str">
        <f t="shared" si="2"/>
        <v/>
      </c>
      <c r="L51" s="9" t="str">
        <f t="shared" si="3"/>
        <v/>
      </c>
    </row>
    <row r="52" spans="1:12" ht="26.4" x14ac:dyDescent="0.3">
      <c r="A52" s="2">
        <v>51</v>
      </c>
      <c r="B52" s="3" t="s">
        <v>56</v>
      </c>
      <c r="C52" s="3" t="s">
        <v>64</v>
      </c>
      <c r="D52" s="2" t="s">
        <v>12</v>
      </c>
      <c r="E52" s="4" t="s">
        <v>13</v>
      </c>
      <c r="F52" s="5"/>
      <c r="G52" s="5"/>
      <c r="H52" s="6"/>
      <c r="I52" s="7"/>
      <c r="J52" s="8">
        <v>0</v>
      </c>
      <c r="K52" s="9" t="str">
        <f t="shared" si="2"/>
        <v/>
      </c>
      <c r="L52" s="9" t="str">
        <f t="shared" si="3"/>
        <v/>
      </c>
    </row>
    <row r="53" spans="1:12" ht="26.4" x14ac:dyDescent="0.3">
      <c r="A53" s="2">
        <v>52</v>
      </c>
      <c r="B53" s="3" t="s">
        <v>56</v>
      </c>
      <c r="C53" s="3" t="s">
        <v>65</v>
      </c>
      <c r="D53" s="2" t="s">
        <v>12</v>
      </c>
      <c r="E53" s="4" t="s">
        <v>13</v>
      </c>
      <c r="F53" s="5"/>
      <c r="G53" s="5"/>
      <c r="H53" s="6"/>
      <c r="I53" s="7"/>
      <c r="J53" s="8">
        <v>0</v>
      </c>
      <c r="K53" s="9" t="str">
        <f t="shared" si="2"/>
        <v/>
      </c>
      <c r="L53" s="9" t="str">
        <f t="shared" si="3"/>
        <v/>
      </c>
    </row>
    <row r="54" spans="1:12" ht="26.4" x14ac:dyDescent="0.3">
      <c r="A54" s="2">
        <v>53</v>
      </c>
      <c r="B54" s="3" t="s">
        <v>56</v>
      </c>
      <c r="C54" s="3" t="s">
        <v>66</v>
      </c>
      <c r="D54" s="2" t="s">
        <v>12</v>
      </c>
      <c r="E54" s="4" t="s">
        <v>13</v>
      </c>
      <c r="F54" s="5"/>
      <c r="G54" s="5"/>
      <c r="H54" s="6"/>
      <c r="I54" s="7"/>
      <c r="J54" s="8">
        <v>0</v>
      </c>
      <c r="K54" s="9" t="str">
        <f t="shared" si="2"/>
        <v/>
      </c>
      <c r="L54" s="9" t="str">
        <f t="shared" si="3"/>
        <v/>
      </c>
    </row>
    <row r="55" spans="1:12" ht="26.4" x14ac:dyDescent="0.3">
      <c r="A55" s="2">
        <v>54</v>
      </c>
      <c r="B55" s="3" t="s">
        <v>56</v>
      </c>
      <c r="C55" s="3" t="s">
        <v>67</v>
      </c>
      <c r="D55" s="2" t="s">
        <v>12</v>
      </c>
      <c r="E55" s="4" t="s">
        <v>13</v>
      </c>
      <c r="F55" s="5"/>
      <c r="G55" s="5"/>
      <c r="H55" s="6"/>
      <c r="I55" s="7"/>
      <c r="J55" s="8">
        <v>0</v>
      </c>
      <c r="K55" s="9" t="str">
        <f t="shared" si="2"/>
        <v/>
      </c>
      <c r="L55" s="9" t="str">
        <f t="shared" si="3"/>
        <v/>
      </c>
    </row>
    <row r="56" spans="1:12" ht="26.4" x14ac:dyDescent="0.3">
      <c r="A56" s="2">
        <v>55</v>
      </c>
      <c r="B56" s="3" t="s">
        <v>56</v>
      </c>
      <c r="C56" s="3" t="s">
        <v>68</v>
      </c>
      <c r="D56" s="2" t="s">
        <v>12</v>
      </c>
      <c r="E56" s="4" t="s">
        <v>13</v>
      </c>
      <c r="F56" s="5"/>
      <c r="G56" s="5"/>
      <c r="H56" s="6"/>
      <c r="I56" s="7"/>
      <c r="J56" s="8">
        <v>0</v>
      </c>
      <c r="K56" s="9" t="str">
        <f t="shared" si="2"/>
        <v/>
      </c>
      <c r="L56" s="9" t="str">
        <f t="shared" si="3"/>
        <v/>
      </c>
    </row>
    <row r="57" spans="1:12" ht="26.4" x14ac:dyDescent="0.3">
      <c r="A57" s="2">
        <v>56</v>
      </c>
      <c r="B57" s="3" t="s">
        <v>56</v>
      </c>
      <c r="C57" s="3" t="s">
        <v>69</v>
      </c>
      <c r="D57" s="2" t="s">
        <v>12</v>
      </c>
      <c r="E57" s="4" t="s">
        <v>13</v>
      </c>
      <c r="F57" s="5"/>
      <c r="G57" s="5"/>
      <c r="H57" s="6"/>
      <c r="I57" s="7"/>
      <c r="J57" s="8">
        <v>0</v>
      </c>
      <c r="K57" s="9" t="str">
        <f t="shared" si="2"/>
        <v/>
      </c>
      <c r="L57" s="9" t="str">
        <f t="shared" si="3"/>
        <v/>
      </c>
    </row>
    <row r="58" spans="1:12" ht="26.4" x14ac:dyDescent="0.3">
      <c r="A58" s="2">
        <v>57</v>
      </c>
      <c r="B58" s="3" t="s">
        <v>56</v>
      </c>
      <c r="C58" s="3" t="s">
        <v>70</v>
      </c>
      <c r="D58" s="2" t="s">
        <v>12</v>
      </c>
      <c r="E58" s="4" t="s">
        <v>13</v>
      </c>
      <c r="F58" s="5"/>
      <c r="G58" s="5"/>
      <c r="H58" s="6"/>
      <c r="I58" s="7"/>
      <c r="J58" s="8">
        <v>0</v>
      </c>
      <c r="K58" s="9" t="str">
        <f t="shared" si="2"/>
        <v/>
      </c>
      <c r="L58" s="9" t="str">
        <f t="shared" si="3"/>
        <v/>
      </c>
    </row>
    <row r="59" spans="1:12" ht="26.4" x14ac:dyDescent="0.3">
      <c r="A59" s="2">
        <v>58</v>
      </c>
      <c r="B59" s="3" t="s">
        <v>56</v>
      </c>
      <c r="C59" s="3" t="s">
        <v>71</v>
      </c>
      <c r="D59" s="2" t="s">
        <v>12</v>
      </c>
      <c r="E59" s="4" t="s">
        <v>13</v>
      </c>
      <c r="F59" s="5"/>
      <c r="G59" s="5"/>
      <c r="H59" s="6"/>
      <c r="I59" s="7"/>
      <c r="J59" s="8">
        <v>0</v>
      </c>
      <c r="K59" s="9" t="str">
        <f t="shared" si="2"/>
        <v/>
      </c>
      <c r="L59" s="9" t="str">
        <f t="shared" si="3"/>
        <v/>
      </c>
    </row>
    <row r="60" spans="1:12" ht="26.4" x14ac:dyDescent="0.3">
      <c r="A60" s="2">
        <v>59</v>
      </c>
      <c r="B60" s="3" t="s">
        <v>56</v>
      </c>
      <c r="C60" s="3" t="s">
        <v>72</v>
      </c>
      <c r="D60" s="2" t="s">
        <v>12</v>
      </c>
      <c r="E60" s="4" t="s">
        <v>13</v>
      </c>
      <c r="F60" s="5"/>
      <c r="G60" s="5"/>
      <c r="H60" s="6"/>
      <c r="I60" s="7"/>
      <c r="J60" s="8">
        <v>0</v>
      </c>
      <c r="K60" s="9" t="str">
        <f t="shared" si="2"/>
        <v/>
      </c>
      <c r="L60" s="9" t="str">
        <f t="shared" si="3"/>
        <v/>
      </c>
    </row>
    <row r="61" spans="1:12" ht="26.4" x14ac:dyDescent="0.3">
      <c r="A61" s="2">
        <v>60</v>
      </c>
      <c r="B61" s="3" t="s">
        <v>56</v>
      </c>
      <c r="C61" s="3" t="s">
        <v>73</v>
      </c>
      <c r="D61" s="2" t="s">
        <v>12</v>
      </c>
      <c r="E61" s="4" t="s">
        <v>13</v>
      </c>
      <c r="F61" s="5"/>
      <c r="G61" s="5"/>
      <c r="H61" s="6"/>
      <c r="I61" s="7"/>
      <c r="J61" s="8">
        <v>0</v>
      </c>
      <c r="K61" s="9" t="str">
        <f t="shared" si="2"/>
        <v/>
      </c>
      <c r="L61" s="9" t="str">
        <f t="shared" si="3"/>
        <v/>
      </c>
    </row>
    <row r="62" spans="1:12" ht="26.4" x14ac:dyDescent="0.3">
      <c r="A62" s="2">
        <v>61</v>
      </c>
      <c r="B62" s="3" t="s">
        <v>56</v>
      </c>
      <c r="C62" s="3" t="s">
        <v>74</v>
      </c>
      <c r="D62" s="2" t="s">
        <v>12</v>
      </c>
      <c r="E62" s="4" t="s">
        <v>13</v>
      </c>
      <c r="F62" s="5"/>
      <c r="G62" s="5"/>
      <c r="H62" s="6"/>
      <c r="I62" s="7"/>
      <c r="J62" s="8">
        <v>0</v>
      </c>
      <c r="K62" s="9" t="str">
        <f t="shared" si="2"/>
        <v/>
      </c>
      <c r="L62" s="9" t="str">
        <f t="shared" si="3"/>
        <v/>
      </c>
    </row>
    <row r="63" spans="1:12" ht="26.4" x14ac:dyDescent="0.3">
      <c r="A63" s="2">
        <v>62</v>
      </c>
      <c r="B63" s="3" t="s">
        <v>56</v>
      </c>
      <c r="C63" s="3" t="s">
        <v>75</v>
      </c>
      <c r="D63" s="2" t="s">
        <v>12</v>
      </c>
      <c r="E63" s="4" t="s">
        <v>13</v>
      </c>
      <c r="F63" s="5"/>
      <c r="G63" s="5"/>
      <c r="H63" s="6"/>
      <c r="I63" s="7"/>
      <c r="J63" s="8">
        <v>0</v>
      </c>
      <c r="K63" s="9" t="str">
        <f t="shared" si="2"/>
        <v/>
      </c>
      <c r="L63" s="9" t="str">
        <f t="shared" si="3"/>
        <v/>
      </c>
    </row>
    <row r="64" spans="1:12" ht="26.4" x14ac:dyDescent="0.3">
      <c r="A64" s="2">
        <v>63</v>
      </c>
      <c r="B64" s="3" t="s">
        <v>56</v>
      </c>
      <c r="C64" s="3" t="s">
        <v>76</v>
      </c>
      <c r="D64" s="2" t="s">
        <v>12</v>
      </c>
      <c r="E64" s="4" t="s">
        <v>13</v>
      </c>
      <c r="F64" s="5"/>
      <c r="G64" s="5"/>
      <c r="H64" s="6"/>
      <c r="I64" s="7"/>
      <c r="J64" s="8">
        <v>0</v>
      </c>
      <c r="K64" s="9" t="str">
        <f t="shared" si="2"/>
        <v/>
      </c>
      <c r="L64" s="9" t="str">
        <f t="shared" si="3"/>
        <v/>
      </c>
    </row>
    <row r="65" spans="1:12" ht="26.4" x14ac:dyDescent="0.3">
      <c r="A65" s="2">
        <v>64</v>
      </c>
      <c r="B65" s="3" t="s">
        <v>56</v>
      </c>
      <c r="C65" s="3" t="s">
        <v>77</v>
      </c>
      <c r="D65" s="2" t="s">
        <v>12</v>
      </c>
      <c r="E65" s="4" t="s">
        <v>13</v>
      </c>
      <c r="F65" s="5"/>
      <c r="G65" s="5"/>
      <c r="H65" s="6"/>
      <c r="I65" s="7"/>
      <c r="J65" s="8">
        <v>0</v>
      </c>
      <c r="K65" s="9" t="str">
        <f t="shared" si="2"/>
        <v/>
      </c>
      <c r="L65" s="9" t="str">
        <f t="shared" si="3"/>
        <v/>
      </c>
    </row>
    <row r="66" spans="1:12" ht="26.4" x14ac:dyDescent="0.3">
      <c r="A66" s="2">
        <v>65</v>
      </c>
      <c r="B66" s="3" t="s">
        <v>56</v>
      </c>
      <c r="C66" s="3" t="s">
        <v>78</v>
      </c>
      <c r="D66" s="2" t="s">
        <v>12</v>
      </c>
      <c r="E66" s="4" t="s">
        <v>13</v>
      </c>
      <c r="F66" s="5"/>
      <c r="G66" s="5"/>
      <c r="H66" s="6"/>
      <c r="I66" s="7"/>
      <c r="J66" s="8">
        <v>0</v>
      </c>
      <c r="K66" s="9" t="str">
        <f t="shared" ref="K66:K97" si="4">IF($I66="","",$I66*$J66)</f>
        <v/>
      </c>
      <c r="L66" s="9" t="str">
        <f t="shared" ref="L66:L97" si="5">IF($I66="","",$I66-$K66)</f>
        <v/>
      </c>
    </row>
    <row r="67" spans="1:12" ht="26.4" x14ac:dyDescent="0.3">
      <c r="A67" s="2">
        <v>66</v>
      </c>
      <c r="B67" s="3" t="s">
        <v>56</v>
      </c>
      <c r="C67" s="3" t="s">
        <v>79</v>
      </c>
      <c r="D67" s="2" t="s">
        <v>12</v>
      </c>
      <c r="E67" s="4" t="s">
        <v>13</v>
      </c>
      <c r="F67" s="5"/>
      <c r="G67" s="5"/>
      <c r="H67" s="6"/>
      <c r="I67" s="7"/>
      <c r="J67" s="8">
        <v>0</v>
      </c>
      <c r="K67" s="9" t="str">
        <f t="shared" si="4"/>
        <v/>
      </c>
      <c r="L67" s="9" t="str">
        <f t="shared" si="5"/>
        <v/>
      </c>
    </row>
    <row r="68" spans="1:12" ht="26.4" x14ac:dyDescent="0.3">
      <c r="A68" s="2">
        <v>67</v>
      </c>
      <c r="B68" s="3" t="s">
        <v>56</v>
      </c>
      <c r="C68" s="3" t="s">
        <v>80</v>
      </c>
      <c r="D68" s="2" t="s">
        <v>12</v>
      </c>
      <c r="E68" s="4" t="s">
        <v>13</v>
      </c>
      <c r="F68" s="5"/>
      <c r="G68" s="5"/>
      <c r="H68" s="6"/>
      <c r="I68" s="7"/>
      <c r="J68" s="8">
        <v>0</v>
      </c>
      <c r="K68" s="9" t="str">
        <f t="shared" si="4"/>
        <v/>
      </c>
      <c r="L68" s="9" t="str">
        <f t="shared" si="5"/>
        <v/>
      </c>
    </row>
    <row r="69" spans="1:12" ht="26.4" x14ac:dyDescent="0.3">
      <c r="A69" s="2">
        <v>68</v>
      </c>
      <c r="B69" s="3" t="s">
        <v>56</v>
      </c>
      <c r="C69" s="3" t="s">
        <v>81</v>
      </c>
      <c r="D69" s="2" t="s">
        <v>12</v>
      </c>
      <c r="E69" s="4" t="s">
        <v>13</v>
      </c>
      <c r="F69" s="5"/>
      <c r="G69" s="5"/>
      <c r="H69" s="6"/>
      <c r="I69" s="7"/>
      <c r="J69" s="8">
        <v>0</v>
      </c>
      <c r="K69" s="9" t="str">
        <f t="shared" si="4"/>
        <v/>
      </c>
      <c r="L69" s="9" t="str">
        <f t="shared" si="5"/>
        <v/>
      </c>
    </row>
    <row r="70" spans="1:12" ht="26.4" x14ac:dyDescent="0.3">
      <c r="A70" s="2">
        <v>69</v>
      </c>
      <c r="B70" s="3" t="s">
        <v>56</v>
      </c>
      <c r="C70" s="3" t="s">
        <v>82</v>
      </c>
      <c r="D70" s="2" t="s">
        <v>12</v>
      </c>
      <c r="E70" s="4" t="s">
        <v>13</v>
      </c>
      <c r="F70" s="5"/>
      <c r="G70" s="5"/>
      <c r="H70" s="6"/>
      <c r="I70" s="7"/>
      <c r="J70" s="8">
        <v>0</v>
      </c>
      <c r="K70" s="9" t="str">
        <f t="shared" si="4"/>
        <v/>
      </c>
      <c r="L70" s="9" t="str">
        <f t="shared" si="5"/>
        <v/>
      </c>
    </row>
    <row r="71" spans="1:12" ht="26.4" x14ac:dyDescent="0.3">
      <c r="A71" s="2">
        <v>70</v>
      </c>
      <c r="B71" s="3" t="s">
        <v>56</v>
      </c>
      <c r="C71" s="3" t="s">
        <v>83</v>
      </c>
      <c r="D71" s="2" t="s">
        <v>12</v>
      </c>
      <c r="E71" s="4" t="s">
        <v>13</v>
      </c>
      <c r="F71" s="5"/>
      <c r="G71" s="5"/>
      <c r="H71" s="6"/>
      <c r="I71" s="7"/>
      <c r="J71" s="8">
        <v>0</v>
      </c>
      <c r="K71" s="9" t="str">
        <f t="shared" si="4"/>
        <v/>
      </c>
      <c r="L71" s="9" t="str">
        <f t="shared" si="5"/>
        <v/>
      </c>
    </row>
    <row r="72" spans="1:12" ht="26.4" x14ac:dyDescent="0.3">
      <c r="A72" s="2">
        <v>71</v>
      </c>
      <c r="B72" s="3" t="s">
        <v>56</v>
      </c>
      <c r="C72" s="3" t="s">
        <v>84</v>
      </c>
      <c r="D72" s="2" t="s">
        <v>12</v>
      </c>
      <c r="E72" s="4" t="s">
        <v>13</v>
      </c>
      <c r="F72" s="5"/>
      <c r="G72" s="5"/>
      <c r="H72" s="6"/>
      <c r="I72" s="14"/>
      <c r="J72" s="8">
        <v>0</v>
      </c>
      <c r="K72" s="9" t="str">
        <f t="shared" si="4"/>
        <v/>
      </c>
      <c r="L72" s="9" t="str">
        <f t="shared" si="5"/>
        <v/>
      </c>
    </row>
    <row r="73" spans="1:12" ht="26.4" x14ac:dyDescent="0.3">
      <c r="A73" s="2">
        <v>72</v>
      </c>
      <c r="B73" s="3" t="s">
        <v>56</v>
      </c>
      <c r="C73" s="3" t="s">
        <v>85</v>
      </c>
      <c r="D73" s="2" t="s">
        <v>12</v>
      </c>
      <c r="E73" s="4" t="s">
        <v>13</v>
      </c>
      <c r="F73" s="5"/>
      <c r="G73" s="5"/>
      <c r="H73" s="6"/>
      <c r="I73" s="14"/>
      <c r="J73" s="8">
        <v>0</v>
      </c>
      <c r="K73" s="9" t="str">
        <f t="shared" si="4"/>
        <v/>
      </c>
      <c r="L73" s="9" t="str">
        <f t="shared" si="5"/>
        <v/>
      </c>
    </row>
    <row r="74" spans="1:12" ht="26.4" x14ac:dyDescent="0.3">
      <c r="A74" s="2">
        <v>73</v>
      </c>
      <c r="B74" s="3" t="s">
        <v>56</v>
      </c>
      <c r="C74" s="3" t="s">
        <v>86</v>
      </c>
      <c r="D74" s="2" t="s">
        <v>12</v>
      </c>
      <c r="E74" s="4" t="s">
        <v>13</v>
      </c>
      <c r="F74" s="5"/>
      <c r="G74" s="5"/>
      <c r="H74" s="6"/>
      <c r="I74" s="7"/>
      <c r="J74" s="8">
        <v>0</v>
      </c>
      <c r="K74" s="9" t="str">
        <f t="shared" si="4"/>
        <v/>
      </c>
      <c r="L74" s="9" t="str">
        <f t="shared" si="5"/>
        <v/>
      </c>
    </row>
    <row r="75" spans="1:12" ht="26.4" x14ac:dyDescent="0.3">
      <c r="A75" s="2">
        <v>74</v>
      </c>
      <c r="B75" s="3" t="s">
        <v>56</v>
      </c>
      <c r="C75" s="3" t="s">
        <v>87</v>
      </c>
      <c r="D75" s="2" t="s">
        <v>12</v>
      </c>
      <c r="E75" s="4" t="s">
        <v>13</v>
      </c>
      <c r="F75" s="5"/>
      <c r="G75" s="5"/>
      <c r="H75" s="6"/>
      <c r="I75" s="7"/>
      <c r="J75" s="8">
        <v>0</v>
      </c>
      <c r="K75" s="9" t="str">
        <f t="shared" si="4"/>
        <v/>
      </c>
      <c r="L75" s="9" t="str">
        <f t="shared" si="5"/>
        <v/>
      </c>
    </row>
    <row r="76" spans="1:12" ht="26.4" x14ac:dyDescent="0.3">
      <c r="A76" s="2">
        <v>75</v>
      </c>
      <c r="B76" s="3" t="s">
        <v>56</v>
      </c>
      <c r="C76" s="3" t="s">
        <v>88</v>
      </c>
      <c r="D76" s="2" t="s">
        <v>12</v>
      </c>
      <c r="E76" s="4" t="s">
        <v>13</v>
      </c>
      <c r="F76" s="5"/>
      <c r="G76" s="5"/>
      <c r="H76" s="6"/>
      <c r="I76" s="7"/>
      <c r="J76" s="8">
        <v>0</v>
      </c>
      <c r="K76" s="9" t="str">
        <f t="shared" si="4"/>
        <v/>
      </c>
      <c r="L76" s="9" t="str">
        <f t="shared" si="5"/>
        <v/>
      </c>
    </row>
    <row r="77" spans="1:12" ht="26.4" x14ac:dyDescent="0.3">
      <c r="A77" s="2">
        <v>76</v>
      </c>
      <c r="B77" s="3" t="s">
        <v>56</v>
      </c>
      <c r="C77" s="3" t="s">
        <v>89</v>
      </c>
      <c r="D77" s="2" t="s">
        <v>12</v>
      </c>
      <c r="E77" s="4" t="s">
        <v>13</v>
      </c>
      <c r="F77" s="5"/>
      <c r="G77" s="5"/>
      <c r="H77" s="6"/>
      <c r="I77" s="7"/>
      <c r="J77" s="8">
        <v>0</v>
      </c>
      <c r="K77" s="9" t="str">
        <f t="shared" si="4"/>
        <v/>
      </c>
      <c r="L77" s="9" t="str">
        <f t="shared" si="5"/>
        <v/>
      </c>
    </row>
    <row r="78" spans="1:12" ht="26.4" x14ac:dyDescent="0.3">
      <c r="A78" s="2">
        <v>77</v>
      </c>
      <c r="B78" s="3" t="s">
        <v>56</v>
      </c>
      <c r="C78" s="3" t="s">
        <v>90</v>
      </c>
      <c r="D78" s="2" t="s">
        <v>12</v>
      </c>
      <c r="E78" s="4" t="s">
        <v>13</v>
      </c>
      <c r="F78" s="5"/>
      <c r="G78" s="5"/>
      <c r="H78" s="6"/>
      <c r="I78" s="7"/>
      <c r="J78" s="8">
        <v>0</v>
      </c>
      <c r="K78" s="9" t="str">
        <f t="shared" si="4"/>
        <v/>
      </c>
      <c r="L78" s="9" t="str">
        <f t="shared" si="5"/>
        <v/>
      </c>
    </row>
    <row r="79" spans="1:12" ht="26.4" x14ac:dyDescent="0.3">
      <c r="A79" s="2">
        <v>78</v>
      </c>
      <c r="B79" s="3" t="s">
        <v>56</v>
      </c>
      <c r="C79" s="3" t="s">
        <v>91</v>
      </c>
      <c r="D79" s="2" t="s">
        <v>12</v>
      </c>
      <c r="E79" s="4" t="s">
        <v>13</v>
      </c>
      <c r="F79" s="5"/>
      <c r="G79" s="5"/>
      <c r="H79" s="6"/>
      <c r="I79" s="7"/>
      <c r="J79" s="8">
        <v>0</v>
      </c>
      <c r="K79" s="9" t="str">
        <f t="shared" si="4"/>
        <v/>
      </c>
      <c r="L79" s="9" t="str">
        <f t="shared" si="5"/>
        <v/>
      </c>
    </row>
    <row r="80" spans="1:12" ht="26.4" x14ac:dyDescent="0.3">
      <c r="A80" s="2">
        <v>79</v>
      </c>
      <c r="B80" s="3" t="s">
        <v>56</v>
      </c>
      <c r="C80" s="3" t="s">
        <v>92</v>
      </c>
      <c r="D80" s="2" t="s">
        <v>12</v>
      </c>
      <c r="E80" s="4" t="s">
        <v>13</v>
      </c>
      <c r="F80" s="5"/>
      <c r="G80" s="5"/>
      <c r="H80" s="6"/>
      <c r="I80" s="7"/>
      <c r="J80" s="8">
        <v>0</v>
      </c>
      <c r="K80" s="9" t="str">
        <f t="shared" si="4"/>
        <v/>
      </c>
      <c r="L80" s="9" t="str">
        <f t="shared" si="5"/>
        <v/>
      </c>
    </row>
    <row r="81" spans="1:12" ht="26.4" x14ac:dyDescent="0.3">
      <c r="A81" s="2">
        <v>80</v>
      </c>
      <c r="B81" s="3" t="s">
        <v>56</v>
      </c>
      <c r="C81" s="3" t="s">
        <v>93</v>
      </c>
      <c r="D81" s="2" t="s">
        <v>12</v>
      </c>
      <c r="E81" s="4" t="s">
        <v>13</v>
      </c>
      <c r="F81" s="5"/>
      <c r="G81" s="5"/>
      <c r="H81" s="6"/>
      <c r="I81" s="7"/>
      <c r="J81" s="8">
        <v>0</v>
      </c>
      <c r="K81" s="9" t="str">
        <f t="shared" si="4"/>
        <v/>
      </c>
      <c r="L81" s="9" t="str">
        <f t="shared" si="5"/>
        <v/>
      </c>
    </row>
    <row r="82" spans="1:12" ht="26.4" x14ac:dyDescent="0.3">
      <c r="A82" s="2">
        <v>81</v>
      </c>
      <c r="B82" s="3" t="s">
        <v>56</v>
      </c>
      <c r="C82" s="3" t="s">
        <v>94</v>
      </c>
      <c r="D82" s="2" t="s">
        <v>12</v>
      </c>
      <c r="E82" s="4" t="s">
        <v>13</v>
      </c>
      <c r="F82" s="5"/>
      <c r="G82" s="5"/>
      <c r="H82" s="6"/>
      <c r="I82" s="7"/>
      <c r="J82" s="8">
        <v>0</v>
      </c>
      <c r="K82" s="9" t="str">
        <f t="shared" si="4"/>
        <v/>
      </c>
      <c r="L82" s="9" t="str">
        <f t="shared" si="5"/>
        <v/>
      </c>
    </row>
    <row r="83" spans="1:12" ht="26.4" x14ac:dyDescent="0.3">
      <c r="A83" s="2">
        <v>82</v>
      </c>
      <c r="B83" s="3" t="s">
        <v>56</v>
      </c>
      <c r="C83" s="3" t="s">
        <v>95</v>
      </c>
      <c r="D83" s="2" t="s">
        <v>12</v>
      </c>
      <c r="E83" s="4" t="s">
        <v>13</v>
      </c>
      <c r="F83" s="5"/>
      <c r="G83" s="5"/>
      <c r="H83" s="6"/>
      <c r="I83" s="7"/>
      <c r="J83" s="8">
        <v>0</v>
      </c>
      <c r="K83" s="9" t="str">
        <f t="shared" si="4"/>
        <v/>
      </c>
      <c r="L83" s="9" t="str">
        <f t="shared" si="5"/>
        <v/>
      </c>
    </row>
    <row r="84" spans="1:12" ht="26.4" x14ac:dyDescent="0.3">
      <c r="A84" s="2">
        <v>83</v>
      </c>
      <c r="B84" s="3" t="s">
        <v>56</v>
      </c>
      <c r="C84" s="3" t="s">
        <v>96</v>
      </c>
      <c r="D84" s="2" t="s">
        <v>12</v>
      </c>
      <c r="E84" s="4" t="s">
        <v>13</v>
      </c>
      <c r="F84" s="5"/>
      <c r="G84" s="5"/>
      <c r="H84" s="6"/>
      <c r="I84" s="7"/>
      <c r="J84" s="8">
        <v>0</v>
      </c>
      <c r="K84" s="9" t="str">
        <f t="shared" si="4"/>
        <v/>
      </c>
      <c r="L84" s="9" t="str">
        <f t="shared" si="5"/>
        <v/>
      </c>
    </row>
    <row r="85" spans="1:12" ht="26.4" x14ac:dyDescent="0.3">
      <c r="A85" s="2">
        <v>84</v>
      </c>
      <c r="B85" s="3" t="s">
        <v>56</v>
      </c>
      <c r="C85" s="3" t="s">
        <v>97</v>
      </c>
      <c r="D85" s="2" t="s">
        <v>12</v>
      </c>
      <c r="E85" s="4" t="s">
        <v>13</v>
      </c>
      <c r="F85" s="5"/>
      <c r="G85" s="5"/>
      <c r="H85" s="6"/>
      <c r="I85" s="7"/>
      <c r="J85" s="8">
        <v>0</v>
      </c>
      <c r="K85" s="9" t="str">
        <f t="shared" si="4"/>
        <v/>
      </c>
      <c r="L85" s="9" t="str">
        <f t="shared" si="5"/>
        <v/>
      </c>
    </row>
    <row r="86" spans="1:12" ht="26.4" x14ac:dyDescent="0.3">
      <c r="A86" s="2">
        <v>85</v>
      </c>
      <c r="B86" s="3" t="s">
        <v>56</v>
      </c>
      <c r="C86" s="3" t="s">
        <v>98</v>
      </c>
      <c r="D86" s="2" t="s">
        <v>12</v>
      </c>
      <c r="E86" s="4" t="s">
        <v>13</v>
      </c>
      <c r="F86" s="5"/>
      <c r="G86" s="5"/>
      <c r="H86" s="6"/>
      <c r="I86" s="7"/>
      <c r="J86" s="8">
        <v>0</v>
      </c>
      <c r="K86" s="9" t="str">
        <f t="shared" si="4"/>
        <v/>
      </c>
      <c r="L86" s="9" t="str">
        <f t="shared" si="5"/>
        <v/>
      </c>
    </row>
    <row r="87" spans="1:12" ht="26.4" x14ac:dyDescent="0.3">
      <c r="A87" s="2">
        <v>86</v>
      </c>
      <c r="B87" s="3" t="s">
        <v>56</v>
      </c>
      <c r="C87" s="3" t="s">
        <v>99</v>
      </c>
      <c r="D87" s="2" t="s">
        <v>12</v>
      </c>
      <c r="E87" s="4" t="s">
        <v>13</v>
      </c>
      <c r="F87" s="5"/>
      <c r="G87" s="5"/>
      <c r="H87" s="6"/>
      <c r="I87" s="7"/>
      <c r="J87" s="8">
        <v>0</v>
      </c>
      <c r="K87" s="9" t="str">
        <f t="shared" si="4"/>
        <v/>
      </c>
      <c r="L87" s="9" t="str">
        <f t="shared" si="5"/>
        <v/>
      </c>
    </row>
    <row r="88" spans="1:12" ht="26.4" x14ac:dyDescent="0.3">
      <c r="A88" s="2">
        <v>87</v>
      </c>
      <c r="B88" s="3" t="s">
        <v>56</v>
      </c>
      <c r="C88" s="3" t="s">
        <v>100</v>
      </c>
      <c r="D88" s="2" t="s">
        <v>12</v>
      </c>
      <c r="E88" s="4" t="s">
        <v>13</v>
      </c>
      <c r="F88" s="5"/>
      <c r="G88" s="5"/>
      <c r="H88" s="6"/>
      <c r="I88" s="7"/>
      <c r="J88" s="8">
        <v>0</v>
      </c>
      <c r="K88" s="9" t="str">
        <f t="shared" si="4"/>
        <v/>
      </c>
      <c r="L88" s="9" t="str">
        <f t="shared" si="5"/>
        <v/>
      </c>
    </row>
    <row r="89" spans="1:12" ht="26.4" x14ac:dyDescent="0.3">
      <c r="A89" s="2">
        <v>88</v>
      </c>
      <c r="B89" s="3" t="s">
        <v>56</v>
      </c>
      <c r="C89" s="3" t="s">
        <v>101</v>
      </c>
      <c r="D89" s="2" t="s">
        <v>12</v>
      </c>
      <c r="E89" s="4" t="s">
        <v>13</v>
      </c>
      <c r="F89" s="5"/>
      <c r="G89" s="5"/>
      <c r="H89" s="6"/>
      <c r="I89" s="7"/>
      <c r="J89" s="8">
        <v>0</v>
      </c>
      <c r="K89" s="9" t="str">
        <f t="shared" si="4"/>
        <v/>
      </c>
      <c r="L89" s="9" t="str">
        <f t="shared" si="5"/>
        <v/>
      </c>
    </row>
    <row r="90" spans="1:12" ht="26.4" x14ac:dyDescent="0.3">
      <c r="A90" s="2">
        <v>89</v>
      </c>
      <c r="B90" s="3" t="s">
        <v>56</v>
      </c>
      <c r="C90" s="3" t="s">
        <v>102</v>
      </c>
      <c r="D90" s="2" t="s">
        <v>12</v>
      </c>
      <c r="E90" s="4" t="s">
        <v>13</v>
      </c>
      <c r="F90" s="5"/>
      <c r="G90" s="5"/>
      <c r="H90" s="6"/>
      <c r="I90" s="7"/>
      <c r="J90" s="8">
        <v>0</v>
      </c>
      <c r="K90" s="9" t="str">
        <f t="shared" si="4"/>
        <v/>
      </c>
      <c r="L90" s="9" t="str">
        <f t="shared" si="5"/>
        <v/>
      </c>
    </row>
    <row r="91" spans="1:12" ht="39.6" x14ac:dyDescent="0.3">
      <c r="A91" s="2">
        <v>90</v>
      </c>
      <c r="B91" s="3" t="s">
        <v>56</v>
      </c>
      <c r="C91" s="3" t="s">
        <v>103</v>
      </c>
      <c r="D91" s="2" t="s">
        <v>12</v>
      </c>
      <c r="E91" s="4" t="s">
        <v>13</v>
      </c>
      <c r="F91" s="5"/>
      <c r="G91" s="5"/>
      <c r="H91" s="6"/>
      <c r="I91" s="7"/>
      <c r="J91" s="8">
        <v>0</v>
      </c>
      <c r="K91" s="9" t="str">
        <f t="shared" si="4"/>
        <v/>
      </c>
      <c r="L91" s="9" t="str">
        <f t="shared" si="5"/>
        <v/>
      </c>
    </row>
    <row r="92" spans="1:12" ht="26.4" x14ac:dyDescent="0.3">
      <c r="A92" s="2">
        <v>91</v>
      </c>
      <c r="B92" s="3" t="s">
        <v>56</v>
      </c>
      <c r="C92" s="3" t="s">
        <v>104</v>
      </c>
      <c r="D92" s="2" t="s">
        <v>12</v>
      </c>
      <c r="E92" s="4" t="s">
        <v>13</v>
      </c>
      <c r="F92" s="5"/>
      <c r="G92" s="5"/>
      <c r="H92" s="6"/>
      <c r="I92" s="7"/>
      <c r="J92" s="8">
        <v>0</v>
      </c>
      <c r="K92" s="9" t="str">
        <f t="shared" si="4"/>
        <v/>
      </c>
      <c r="L92" s="9" t="str">
        <f t="shared" si="5"/>
        <v/>
      </c>
    </row>
    <row r="93" spans="1:12" x14ac:dyDescent="0.3">
      <c r="A93" s="2">
        <v>92</v>
      </c>
      <c r="B93" s="3" t="s">
        <v>105</v>
      </c>
      <c r="C93" s="3" t="s">
        <v>106</v>
      </c>
      <c r="D93" s="2" t="s">
        <v>12</v>
      </c>
      <c r="E93" s="4" t="s">
        <v>13</v>
      </c>
      <c r="F93" s="5"/>
      <c r="G93" s="5"/>
      <c r="H93" s="6"/>
      <c r="I93" s="7"/>
      <c r="J93" s="8">
        <v>0</v>
      </c>
      <c r="K93" s="9" t="str">
        <f t="shared" si="4"/>
        <v/>
      </c>
      <c r="L93" s="9" t="str">
        <f t="shared" si="5"/>
        <v/>
      </c>
    </row>
    <row r="94" spans="1:12" x14ac:dyDescent="0.3">
      <c r="A94" s="2">
        <v>93</v>
      </c>
      <c r="B94" s="3" t="s">
        <v>105</v>
      </c>
      <c r="C94" s="3" t="s">
        <v>107</v>
      </c>
      <c r="D94" s="2" t="s">
        <v>12</v>
      </c>
      <c r="E94" s="4" t="s">
        <v>13</v>
      </c>
      <c r="F94" s="5"/>
      <c r="G94" s="5"/>
      <c r="H94" s="6"/>
      <c r="I94" s="7"/>
      <c r="J94" s="8">
        <v>0</v>
      </c>
      <c r="K94" s="9" t="str">
        <f t="shared" si="4"/>
        <v/>
      </c>
      <c r="L94" s="9" t="str">
        <f t="shared" si="5"/>
        <v/>
      </c>
    </row>
    <row r="95" spans="1:12" x14ac:dyDescent="0.3">
      <c r="A95" s="2">
        <v>94</v>
      </c>
      <c r="B95" s="3" t="s">
        <v>105</v>
      </c>
      <c r="C95" s="3" t="s">
        <v>108</v>
      </c>
      <c r="D95" s="2" t="s">
        <v>12</v>
      </c>
      <c r="E95" s="4" t="s">
        <v>13</v>
      </c>
      <c r="F95" s="5"/>
      <c r="G95" s="5"/>
      <c r="H95" s="6"/>
      <c r="I95" s="7"/>
      <c r="J95" s="8">
        <v>0</v>
      </c>
      <c r="K95" s="9" t="str">
        <f t="shared" si="4"/>
        <v/>
      </c>
      <c r="L95" s="9" t="str">
        <f t="shared" si="5"/>
        <v/>
      </c>
    </row>
    <row r="96" spans="1:12" x14ac:dyDescent="0.3">
      <c r="A96" s="2">
        <v>95</v>
      </c>
      <c r="B96" s="3" t="s">
        <v>105</v>
      </c>
      <c r="C96" s="3" t="s">
        <v>109</v>
      </c>
      <c r="D96" s="2" t="s">
        <v>12</v>
      </c>
      <c r="E96" s="4" t="s">
        <v>13</v>
      </c>
      <c r="F96" s="5"/>
      <c r="G96" s="5"/>
      <c r="H96" s="6"/>
      <c r="I96" s="7"/>
      <c r="J96" s="8">
        <v>0</v>
      </c>
      <c r="K96" s="9" t="str">
        <f t="shared" si="4"/>
        <v/>
      </c>
      <c r="L96" s="9" t="str">
        <f t="shared" si="5"/>
        <v/>
      </c>
    </row>
    <row r="97" spans="1:12" x14ac:dyDescent="0.3">
      <c r="A97" s="2">
        <v>96</v>
      </c>
      <c r="B97" s="3" t="s">
        <v>105</v>
      </c>
      <c r="C97" s="3" t="s">
        <v>110</v>
      </c>
      <c r="D97" s="2" t="s">
        <v>12</v>
      </c>
      <c r="E97" s="4" t="s">
        <v>13</v>
      </c>
      <c r="F97" s="5"/>
      <c r="G97" s="5"/>
      <c r="H97" s="6"/>
      <c r="I97" s="7"/>
      <c r="J97" s="8">
        <v>0</v>
      </c>
      <c r="K97" s="9" t="str">
        <f t="shared" si="4"/>
        <v/>
      </c>
      <c r="L97" s="9" t="str">
        <f t="shared" si="5"/>
        <v/>
      </c>
    </row>
    <row r="98" spans="1:12" x14ac:dyDescent="0.3">
      <c r="A98" s="2">
        <v>97</v>
      </c>
      <c r="B98" s="3" t="s">
        <v>105</v>
      </c>
      <c r="C98" s="3" t="s">
        <v>111</v>
      </c>
      <c r="D98" s="2" t="s">
        <v>12</v>
      </c>
      <c r="E98" s="4" t="s">
        <v>13</v>
      </c>
      <c r="F98" s="5"/>
      <c r="G98" s="5"/>
      <c r="H98" s="6"/>
      <c r="I98" s="7"/>
      <c r="J98" s="8">
        <v>0</v>
      </c>
      <c r="K98" s="9" t="str">
        <f t="shared" ref="K98:K129" si="6">IF($I98="","",$I98*$J98)</f>
        <v/>
      </c>
      <c r="L98" s="9" t="str">
        <f t="shared" ref="L98:L129" si="7">IF($I98="","",$I98-$K98)</f>
        <v/>
      </c>
    </row>
    <row r="99" spans="1:12" x14ac:dyDescent="0.3">
      <c r="A99" s="2">
        <v>98</v>
      </c>
      <c r="B99" s="3" t="s">
        <v>105</v>
      </c>
      <c r="C99" s="3" t="s">
        <v>112</v>
      </c>
      <c r="D99" s="2" t="s">
        <v>12</v>
      </c>
      <c r="E99" s="4" t="s">
        <v>13</v>
      </c>
      <c r="F99" s="5"/>
      <c r="G99" s="5"/>
      <c r="H99" s="6"/>
      <c r="I99" s="7"/>
      <c r="J99" s="8">
        <v>0</v>
      </c>
      <c r="K99" s="9" t="str">
        <f t="shared" si="6"/>
        <v/>
      </c>
      <c r="L99" s="9" t="str">
        <f t="shared" si="7"/>
        <v/>
      </c>
    </row>
    <row r="100" spans="1:12" x14ac:dyDescent="0.3">
      <c r="A100" s="2">
        <v>99</v>
      </c>
      <c r="B100" s="3" t="s">
        <v>105</v>
      </c>
      <c r="C100" s="3" t="s">
        <v>113</v>
      </c>
      <c r="D100" s="2" t="s">
        <v>12</v>
      </c>
      <c r="E100" s="4" t="s">
        <v>13</v>
      </c>
      <c r="F100" s="5"/>
      <c r="G100" s="5"/>
      <c r="H100" s="6"/>
      <c r="I100" s="7"/>
      <c r="J100" s="8">
        <v>0</v>
      </c>
      <c r="K100" s="9" t="str">
        <f t="shared" si="6"/>
        <v/>
      </c>
      <c r="L100" s="9" t="str">
        <f t="shared" si="7"/>
        <v/>
      </c>
    </row>
    <row r="101" spans="1:12" x14ac:dyDescent="0.3">
      <c r="A101" s="2">
        <v>100</v>
      </c>
      <c r="B101" s="3" t="s">
        <v>105</v>
      </c>
      <c r="C101" s="3" t="s">
        <v>114</v>
      </c>
      <c r="D101" s="2" t="s">
        <v>12</v>
      </c>
      <c r="E101" s="4" t="s">
        <v>13</v>
      </c>
      <c r="F101" s="5"/>
      <c r="G101" s="5"/>
      <c r="H101" s="6"/>
      <c r="I101" s="7"/>
      <c r="J101" s="8">
        <v>0</v>
      </c>
      <c r="K101" s="9" t="str">
        <f t="shared" si="6"/>
        <v/>
      </c>
      <c r="L101" s="9" t="str">
        <f t="shared" si="7"/>
        <v/>
      </c>
    </row>
    <row r="102" spans="1:12" x14ac:dyDescent="0.3">
      <c r="A102" s="2">
        <v>101</v>
      </c>
      <c r="B102" s="3" t="s">
        <v>105</v>
      </c>
      <c r="C102" s="3" t="s">
        <v>115</v>
      </c>
      <c r="D102" s="2" t="s">
        <v>12</v>
      </c>
      <c r="E102" s="4" t="s">
        <v>13</v>
      </c>
      <c r="F102" s="5"/>
      <c r="G102" s="5"/>
      <c r="H102" s="6"/>
      <c r="I102" s="7"/>
      <c r="J102" s="8">
        <v>0</v>
      </c>
      <c r="K102" s="9" t="str">
        <f t="shared" si="6"/>
        <v/>
      </c>
      <c r="L102" s="9" t="str">
        <f t="shared" si="7"/>
        <v/>
      </c>
    </row>
    <row r="103" spans="1:12" x14ac:dyDescent="0.3">
      <c r="A103" s="2">
        <v>102</v>
      </c>
      <c r="B103" s="3" t="s">
        <v>105</v>
      </c>
      <c r="C103" s="3" t="s">
        <v>116</v>
      </c>
      <c r="D103" s="2" t="s">
        <v>12</v>
      </c>
      <c r="E103" s="4" t="s">
        <v>13</v>
      </c>
      <c r="F103" s="5"/>
      <c r="G103" s="5"/>
      <c r="H103" s="6"/>
      <c r="I103" s="7"/>
      <c r="J103" s="8">
        <v>0</v>
      </c>
      <c r="K103" s="9" t="str">
        <f t="shared" si="6"/>
        <v/>
      </c>
      <c r="L103" s="9" t="str">
        <f t="shared" si="7"/>
        <v/>
      </c>
    </row>
    <row r="104" spans="1:12" x14ac:dyDescent="0.3">
      <c r="A104" s="2">
        <v>103</v>
      </c>
      <c r="B104" s="3" t="s">
        <v>105</v>
      </c>
      <c r="C104" s="3" t="s">
        <v>117</v>
      </c>
      <c r="D104" s="2" t="s">
        <v>12</v>
      </c>
      <c r="E104" s="4" t="s">
        <v>13</v>
      </c>
      <c r="F104" s="5"/>
      <c r="G104" s="5"/>
      <c r="H104" s="6"/>
      <c r="I104" s="7"/>
      <c r="J104" s="8">
        <v>0</v>
      </c>
      <c r="K104" s="9" t="str">
        <f t="shared" si="6"/>
        <v/>
      </c>
      <c r="L104" s="9" t="str">
        <f t="shared" si="7"/>
        <v/>
      </c>
    </row>
    <row r="105" spans="1:12" x14ac:dyDescent="0.3">
      <c r="A105" s="2">
        <v>104</v>
      </c>
      <c r="B105" s="3" t="s">
        <v>105</v>
      </c>
      <c r="C105" s="3" t="s">
        <v>118</v>
      </c>
      <c r="D105" s="2" t="s">
        <v>12</v>
      </c>
      <c r="E105" s="4" t="s">
        <v>13</v>
      </c>
      <c r="F105" s="5"/>
      <c r="G105" s="5"/>
      <c r="H105" s="6"/>
      <c r="I105" s="7"/>
      <c r="J105" s="8">
        <v>0</v>
      </c>
      <c r="K105" s="9" t="str">
        <f t="shared" si="6"/>
        <v/>
      </c>
      <c r="L105" s="9" t="str">
        <f t="shared" si="7"/>
        <v/>
      </c>
    </row>
    <row r="106" spans="1:12" x14ac:dyDescent="0.3">
      <c r="A106" s="2">
        <v>105</v>
      </c>
      <c r="B106" s="3" t="s">
        <v>105</v>
      </c>
      <c r="C106" s="3" t="s">
        <v>119</v>
      </c>
      <c r="D106" s="2" t="s">
        <v>12</v>
      </c>
      <c r="E106" s="4" t="s">
        <v>13</v>
      </c>
      <c r="F106" s="5"/>
      <c r="G106" s="5"/>
      <c r="H106" s="6"/>
      <c r="I106" s="7"/>
      <c r="J106" s="8">
        <v>0</v>
      </c>
      <c r="K106" s="9" t="str">
        <f t="shared" si="6"/>
        <v/>
      </c>
      <c r="L106" s="9" t="str">
        <f t="shared" si="7"/>
        <v/>
      </c>
    </row>
    <row r="107" spans="1:12" ht="26.4" x14ac:dyDescent="0.3">
      <c r="A107" s="2">
        <v>106</v>
      </c>
      <c r="B107" s="3" t="s">
        <v>105</v>
      </c>
      <c r="C107" s="3" t="s">
        <v>120</v>
      </c>
      <c r="D107" s="2" t="s">
        <v>12</v>
      </c>
      <c r="E107" s="4" t="s">
        <v>13</v>
      </c>
      <c r="F107" s="5"/>
      <c r="G107" s="5"/>
      <c r="H107" s="6"/>
      <c r="I107" s="7"/>
      <c r="J107" s="8">
        <v>0</v>
      </c>
      <c r="K107" s="9" t="str">
        <f t="shared" si="6"/>
        <v/>
      </c>
      <c r="L107" s="9" t="str">
        <f t="shared" si="7"/>
        <v/>
      </c>
    </row>
    <row r="108" spans="1:12" x14ac:dyDescent="0.3">
      <c r="A108" s="2">
        <v>107</v>
      </c>
      <c r="B108" s="3" t="s">
        <v>105</v>
      </c>
      <c r="C108" s="3" t="s">
        <v>121</v>
      </c>
      <c r="D108" s="2" t="s">
        <v>12</v>
      </c>
      <c r="E108" s="4" t="s">
        <v>13</v>
      </c>
      <c r="F108" s="5"/>
      <c r="G108" s="5"/>
      <c r="H108" s="6"/>
      <c r="I108" s="7"/>
      <c r="J108" s="8">
        <v>0</v>
      </c>
      <c r="K108" s="9" t="str">
        <f t="shared" si="6"/>
        <v/>
      </c>
      <c r="L108" s="9" t="str">
        <f t="shared" si="7"/>
        <v/>
      </c>
    </row>
    <row r="109" spans="1:12" x14ac:dyDescent="0.3">
      <c r="A109" s="2">
        <v>108</v>
      </c>
      <c r="B109" s="3" t="s">
        <v>105</v>
      </c>
      <c r="C109" s="3" t="s">
        <v>122</v>
      </c>
      <c r="D109" s="2" t="s">
        <v>12</v>
      </c>
      <c r="E109" s="4" t="s">
        <v>13</v>
      </c>
      <c r="F109" s="5"/>
      <c r="G109" s="5"/>
      <c r="H109" s="6"/>
      <c r="I109" s="7"/>
      <c r="J109" s="8">
        <v>0</v>
      </c>
      <c r="K109" s="9" t="str">
        <f t="shared" si="6"/>
        <v/>
      </c>
      <c r="L109" s="9" t="str">
        <f t="shared" si="7"/>
        <v/>
      </c>
    </row>
    <row r="110" spans="1:12" x14ac:dyDescent="0.3">
      <c r="A110" s="2">
        <v>109</v>
      </c>
      <c r="B110" s="3" t="s">
        <v>105</v>
      </c>
      <c r="C110" s="3" t="s">
        <v>123</v>
      </c>
      <c r="D110" s="2" t="s">
        <v>12</v>
      </c>
      <c r="E110" s="4" t="s">
        <v>13</v>
      </c>
      <c r="F110" s="5"/>
      <c r="G110" s="5"/>
      <c r="H110" s="6"/>
      <c r="I110" s="7"/>
      <c r="J110" s="8">
        <v>0</v>
      </c>
      <c r="K110" s="9" t="str">
        <f t="shared" si="6"/>
        <v/>
      </c>
      <c r="L110" s="9" t="str">
        <f t="shared" si="7"/>
        <v/>
      </c>
    </row>
    <row r="111" spans="1:12" x14ac:dyDescent="0.3">
      <c r="A111" s="2">
        <v>110</v>
      </c>
      <c r="B111" s="3" t="s">
        <v>105</v>
      </c>
      <c r="C111" s="3" t="s">
        <v>124</v>
      </c>
      <c r="D111" s="2" t="s">
        <v>12</v>
      </c>
      <c r="E111" s="4" t="s">
        <v>13</v>
      </c>
      <c r="F111" s="5"/>
      <c r="G111" s="5"/>
      <c r="H111" s="6"/>
      <c r="I111" s="7"/>
      <c r="J111" s="8">
        <v>0</v>
      </c>
      <c r="K111" s="9" t="str">
        <f t="shared" si="6"/>
        <v/>
      </c>
      <c r="L111" s="9" t="str">
        <f t="shared" si="7"/>
        <v/>
      </c>
    </row>
    <row r="112" spans="1:12" x14ac:dyDescent="0.3">
      <c r="A112" s="2">
        <v>111</v>
      </c>
      <c r="B112" s="3" t="s">
        <v>105</v>
      </c>
      <c r="C112" s="3" t="s">
        <v>125</v>
      </c>
      <c r="D112" s="2" t="s">
        <v>12</v>
      </c>
      <c r="E112" s="4" t="s">
        <v>13</v>
      </c>
      <c r="F112" s="5"/>
      <c r="G112" s="5"/>
      <c r="H112" s="6"/>
      <c r="I112" s="7"/>
      <c r="J112" s="8">
        <v>0</v>
      </c>
      <c r="K112" s="9" t="str">
        <f t="shared" si="6"/>
        <v/>
      </c>
      <c r="L112" s="9" t="str">
        <f t="shared" si="7"/>
        <v/>
      </c>
    </row>
    <row r="113" spans="1:12" x14ac:dyDescent="0.3">
      <c r="A113" s="2">
        <v>112</v>
      </c>
      <c r="B113" s="3" t="s">
        <v>105</v>
      </c>
      <c r="C113" s="3" t="s">
        <v>126</v>
      </c>
      <c r="D113" s="2" t="s">
        <v>12</v>
      </c>
      <c r="E113" s="4" t="s">
        <v>13</v>
      </c>
      <c r="F113" s="5"/>
      <c r="G113" s="5"/>
      <c r="H113" s="6"/>
      <c r="I113" s="7"/>
      <c r="J113" s="8">
        <v>0</v>
      </c>
      <c r="K113" s="9" t="str">
        <f t="shared" si="6"/>
        <v/>
      </c>
      <c r="L113" s="9" t="str">
        <f t="shared" si="7"/>
        <v/>
      </c>
    </row>
    <row r="114" spans="1:12" x14ac:dyDescent="0.3">
      <c r="A114" s="2">
        <v>113</v>
      </c>
      <c r="B114" s="3" t="s">
        <v>105</v>
      </c>
      <c r="C114" s="3" t="s">
        <v>127</v>
      </c>
      <c r="D114" s="2" t="s">
        <v>12</v>
      </c>
      <c r="E114" s="4" t="s">
        <v>13</v>
      </c>
      <c r="F114" s="5"/>
      <c r="G114" s="5"/>
      <c r="H114" s="6"/>
      <c r="I114" s="7"/>
      <c r="J114" s="8">
        <v>0</v>
      </c>
      <c r="K114" s="9" t="str">
        <f t="shared" si="6"/>
        <v/>
      </c>
      <c r="L114" s="9" t="str">
        <f t="shared" si="7"/>
        <v/>
      </c>
    </row>
    <row r="115" spans="1:12" x14ac:dyDescent="0.3">
      <c r="A115" s="2">
        <v>114</v>
      </c>
      <c r="B115" s="3" t="s">
        <v>105</v>
      </c>
      <c r="C115" s="3" t="s">
        <v>128</v>
      </c>
      <c r="D115" s="2" t="s">
        <v>12</v>
      </c>
      <c r="E115" s="4" t="s">
        <v>13</v>
      </c>
      <c r="F115" s="5"/>
      <c r="G115" s="5"/>
      <c r="H115" s="6"/>
      <c r="I115" s="7"/>
      <c r="J115" s="8">
        <v>0</v>
      </c>
      <c r="K115" s="9" t="str">
        <f t="shared" si="6"/>
        <v/>
      </c>
      <c r="L115" s="9" t="str">
        <f t="shared" si="7"/>
        <v/>
      </c>
    </row>
    <row r="116" spans="1:12" x14ac:dyDescent="0.3">
      <c r="A116" s="2">
        <v>115</v>
      </c>
      <c r="B116" s="3" t="s">
        <v>105</v>
      </c>
      <c r="C116" s="3" t="s">
        <v>129</v>
      </c>
      <c r="D116" s="2" t="s">
        <v>12</v>
      </c>
      <c r="E116" s="4" t="s">
        <v>13</v>
      </c>
      <c r="F116" s="5"/>
      <c r="G116" s="5"/>
      <c r="H116" s="6"/>
      <c r="I116" s="7"/>
      <c r="J116" s="8">
        <v>0</v>
      </c>
      <c r="K116" s="9" t="str">
        <f t="shared" si="6"/>
        <v/>
      </c>
      <c r="L116" s="9" t="str">
        <f t="shared" si="7"/>
        <v/>
      </c>
    </row>
    <row r="117" spans="1:12" x14ac:dyDescent="0.3">
      <c r="A117" s="2">
        <v>116</v>
      </c>
      <c r="B117" s="3" t="s">
        <v>105</v>
      </c>
      <c r="C117" s="3" t="s">
        <v>130</v>
      </c>
      <c r="D117" s="2" t="s">
        <v>12</v>
      </c>
      <c r="E117" s="4" t="s">
        <v>13</v>
      </c>
      <c r="F117" s="5"/>
      <c r="G117" s="5"/>
      <c r="H117" s="6"/>
      <c r="I117" s="7"/>
      <c r="J117" s="8">
        <v>0</v>
      </c>
      <c r="K117" s="9" t="str">
        <f t="shared" si="6"/>
        <v/>
      </c>
      <c r="L117" s="9" t="str">
        <f t="shared" si="7"/>
        <v/>
      </c>
    </row>
    <row r="118" spans="1:12" x14ac:dyDescent="0.3">
      <c r="A118" s="2">
        <v>117</v>
      </c>
      <c r="B118" s="3" t="s">
        <v>105</v>
      </c>
      <c r="C118" s="3" t="s">
        <v>131</v>
      </c>
      <c r="D118" s="2" t="s">
        <v>12</v>
      </c>
      <c r="E118" s="4" t="s">
        <v>13</v>
      </c>
      <c r="F118" s="5"/>
      <c r="G118" s="5"/>
      <c r="H118" s="6"/>
      <c r="I118" s="7"/>
      <c r="J118" s="8">
        <v>0</v>
      </c>
      <c r="K118" s="9" t="str">
        <f t="shared" si="6"/>
        <v/>
      </c>
      <c r="L118" s="9" t="str">
        <f t="shared" si="7"/>
        <v/>
      </c>
    </row>
    <row r="119" spans="1:12" x14ac:dyDescent="0.3">
      <c r="A119" s="2">
        <v>118</v>
      </c>
      <c r="B119" s="3" t="s">
        <v>105</v>
      </c>
      <c r="C119" s="3" t="s">
        <v>132</v>
      </c>
      <c r="D119" s="2" t="s">
        <v>12</v>
      </c>
      <c r="E119" s="4" t="s">
        <v>13</v>
      </c>
      <c r="F119" s="5"/>
      <c r="G119" s="5"/>
      <c r="H119" s="6"/>
      <c r="I119" s="7"/>
      <c r="J119" s="8">
        <v>0</v>
      </c>
      <c r="K119" s="9" t="str">
        <f t="shared" si="6"/>
        <v/>
      </c>
      <c r="L119" s="9" t="str">
        <f t="shared" si="7"/>
        <v/>
      </c>
    </row>
    <row r="120" spans="1:12" x14ac:dyDescent="0.3">
      <c r="A120" s="2">
        <v>119</v>
      </c>
      <c r="B120" s="3" t="s">
        <v>105</v>
      </c>
      <c r="C120" s="3" t="s">
        <v>133</v>
      </c>
      <c r="D120" s="2" t="s">
        <v>12</v>
      </c>
      <c r="E120" s="4" t="s">
        <v>13</v>
      </c>
      <c r="F120" s="5"/>
      <c r="G120" s="5"/>
      <c r="H120" s="6"/>
      <c r="I120" s="7"/>
      <c r="J120" s="8">
        <v>0</v>
      </c>
      <c r="K120" s="9" t="str">
        <f t="shared" si="6"/>
        <v/>
      </c>
      <c r="L120" s="9" t="str">
        <f t="shared" si="7"/>
        <v/>
      </c>
    </row>
    <row r="121" spans="1:12" x14ac:dyDescent="0.3">
      <c r="A121" s="2">
        <v>120</v>
      </c>
      <c r="B121" s="3" t="s">
        <v>105</v>
      </c>
      <c r="C121" s="3" t="s">
        <v>134</v>
      </c>
      <c r="D121" s="2" t="s">
        <v>12</v>
      </c>
      <c r="E121" s="4" t="s">
        <v>13</v>
      </c>
      <c r="F121" s="5"/>
      <c r="G121" s="5"/>
      <c r="H121" s="6"/>
      <c r="I121" s="7"/>
      <c r="J121" s="8">
        <v>0</v>
      </c>
      <c r="K121" s="9" t="str">
        <f t="shared" si="6"/>
        <v/>
      </c>
      <c r="L121" s="9" t="str">
        <f t="shared" si="7"/>
        <v/>
      </c>
    </row>
    <row r="122" spans="1:12" x14ac:dyDescent="0.3">
      <c r="A122" s="2">
        <v>121</v>
      </c>
      <c r="B122" s="3" t="s">
        <v>105</v>
      </c>
      <c r="C122" s="3" t="s">
        <v>135</v>
      </c>
      <c r="D122" s="2" t="s">
        <v>12</v>
      </c>
      <c r="E122" s="4" t="s">
        <v>13</v>
      </c>
      <c r="F122" s="5"/>
      <c r="G122" s="5"/>
      <c r="H122" s="6"/>
      <c r="I122" s="7"/>
      <c r="J122" s="8">
        <v>0</v>
      </c>
      <c r="K122" s="9" t="str">
        <f t="shared" si="6"/>
        <v/>
      </c>
      <c r="L122" s="9" t="str">
        <f t="shared" si="7"/>
        <v/>
      </c>
    </row>
    <row r="123" spans="1:12" x14ac:dyDescent="0.3">
      <c r="A123" s="2">
        <v>122</v>
      </c>
      <c r="B123" s="3" t="s">
        <v>105</v>
      </c>
      <c r="C123" s="3" t="s">
        <v>136</v>
      </c>
      <c r="D123" s="2" t="s">
        <v>12</v>
      </c>
      <c r="E123" s="4" t="s">
        <v>13</v>
      </c>
      <c r="F123" s="5"/>
      <c r="G123" s="5"/>
      <c r="H123" s="6"/>
      <c r="I123" s="7"/>
      <c r="J123" s="8">
        <v>0</v>
      </c>
      <c r="K123" s="9" t="str">
        <f t="shared" si="6"/>
        <v/>
      </c>
      <c r="L123" s="9" t="str">
        <f t="shared" si="7"/>
        <v/>
      </c>
    </row>
    <row r="124" spans="1:12" x14ac:dyDescent="0.3">
      <c r="A124" s="2">
        <v>123</v>
      </c>
      <c r="B124" s="3" t="s">
        <v>105</v>
      </c>
      <c r="C124" s="3" t="s">
        <v>137</v>
      </c>
      <c r="D124" s="2" t="s">
        <v>12</v>
      </c>
      <c r="E124" s="4" t="s">
        <v>13</v>
      </c>
      <c r="F124" s="5"/>
      <c r="G124" s="5"/>
      <c r="H124" s="6"/>
      <c r="I124" s="7"/>
      <c r="J124" s="8">
        <v>0</v>
      </c>
      <c r="K124" s="9" t="str">
        <f t="shared" si="6"/>
        <v/>
      </c>
      <c r="L124" s="9" t="str">
        <f t="shared" si="7"/>
        <v/>
      </c>
    </row>
    <row r="125" spans="1:12" x14ac:dyDescent="0.3">
      <c r="A125" s="2">
        <v>124</v>
      </c>
      <c r="B125" s="3" t="s">
        <v>105</v>
      </c>
      <c r="C125" s="3" t="s">
        <v>138</v>
      </c>
      <c r="D125" s="2" t="s">
        <v>12</v>
      </c>
      <c r="E125" s="4" t="s">
        <v>13</v>
      </c>
      <c r="F125" s="5"/>
      <c r="G125" s="5"/>
      <c r="H125" s="6"/>
      <c r="I125" s="7"/>
      <c r="J125" s="8">
        <v>0</v>
      </c>
      <c r="K125" s="9" t="str">
        <f t="shared" si="6"/>
        <v/>
      </c>
      <c r="L125" s="9" t="str">
        <f t="shared" si="7"/>
        <v/>
      </c>
    </row>
    <row r="126" spans="1:12" x14ac:dyDescent="0.3">
      <c r="A126" s="2">
        <v>125</v>
      </c>
      <c r="B126" s="3" t="s">
        <v>105</v>
      </c>
      <c r="C126" s="3" t="s">
        <v>139</v>
      </c>
      <c r="D126" s="2" t="s">
        <v>12</v>
      </c>
      <c r="E126" s="4" t="s">
        <v>13</v>
      </c>
      <c r="F126" s="5"/>
      <c r="G126" s="5"/>
      <c r="H126" s="6"/>
      <c r="I126" s="7"/>
      <c r="J126" s="8">
        <v>0</v>
      </c>
      <c r="K126" s="9" t="str">
        <f t="shared" si="6"/>
        <v/>
      </c>
      <c r="L126" s="9" t="str">
        <f t="shared" si="7"/>
        <v/>
      </c>
    </row>
    <row r="127" spans="1:12" x14ac:dyDescent="0.3">
      <c r="A127" s="2">
        <v>126</v>
      </c>
      <c r="B127" s="3" t="s">
        <v>105</v>
      </c>
      <c r="C127" s="3" t="s">
        <v>140</v>
      </c>
      <c r="D127" s="2" t="s">
        <v>12</v>
      </c>
      <c r="E127" s="4" t="s">
        <v>13</v>
      </c>
      <c r="F127" s="5"/>
      <c r="G127" s="5"/>
      <c r="H127" s="6"/>
      <c r="I127" s="7"/>
      <c r="J127" s="8">
        <v>0</v>
      </c>
      <c r="K127" s="9" t="str">
        <f t="shared" si="6"/>
        <v/>
      </c>
      <c r="L127" s="9" t="str">
        <f t="shared" si="7"/>
        <v/>
      </c>
    </row>
    <row r="128" spans="1:12" x14ac:dyDescent="0.3">
      <c r="A128" s="2">
        <v>127</v>
      </c>
      <c r="B128" s="3" t="s">
        <v>105</v>
      </c>
      <c r="C128" s="3" t="s">
        <v>141</v>
      </c>
      <c r="D128" s="2" t="s">
        <v>12</v>
      </c>
      <c r="E128" s="4" t="s">
        <v>13</v>
      </c>
      <c r="F128" s="5"/>
      <c r="G128" s="5"/>
      <c r="H128" s="6"/>
      <c r="I128" s="7"/>
      <c r="J128" s="8">
        <v>0</v>
      </c>
      <c r="K128" s="9" t="str">
        <f t="shared" si="6"/>
        <v/>
      </c>
      <c r="L128" s="9" t="str">
        <f t="shared" si="7"/>
        <v/>
      </c>
    </row>
    <row r="129" spans="1:12" x14ac:dyDescent="0.3">
      <c r="A129" s="2">
        <v>128</v>
      </c>
      <c r="B129" s="3" t="s">
        <v>105</v>
      </c>
      <c r="C129" s="3" t="s">
        <v>142</v>
      </c>
      <c r="D129" s="2" t="s">
        <v>12</v>
      </c>
      <c r="E129" s="4" t="s">
        <v>13</v>
      </c>
      <c r="F129" s="5"/>
      <c r="G129" s="5"/>
      <c r="H129" s="6"/>
      <c r="I129" s="7"/>
      <c r="J129" s="8">
        <v>0</v>
      </c>
      <c r="K129" s="9" t="str">
        <f t="shared" si="6"/>
        <v/>
      </c>
      <c r="L129" s="9" t="str">
        <f t="shared" si="7"/>
        <v/>
      </c>
    </row>
    <row r="130" spans="1:12" ht="26.4" x14ac:dyDescent="0.3">
      <c r="A130" s="2">
        <v>129</v>
      </c>
      <c r="B130" s="3" t="s">
        <v>105</v>
      </c>
      <c r="C130" s="3" t="s">
        <v>143</v>
      </c>
      <c r="D130" s="2" t="s">
        <v>12</v>
      </c>
      <c r="E130" s="4" t="s">
        <v>13</v>
      </c>
      <c r="F130" s="5"/>
      <c r="G130" s="5"/>
      <c r="H130" s="6"/>
      <c r="I130" s="7"/>
      <c r="J130" s="8">
        <v>0</v>
      </c>
      <c r="K130" s="9" t="str">
        <f t="shared" ref="K130:K164" si="8">IF($I130="","",$I130*$J130)</f>
        <v/>
      </c>
      <c r="L130" s="9" t="str">
        <f t="shared" ref="L130:L164" si="9">IF($I130="","",$I130-$K130)</f>
        <v/>
      </c>
    </row>
    <row r="131" spans="1:12" x14ac:dyDescent="0.3">
      <c r="A131" s="2">
        <v>130</v>
      </c>
      <c r="B131" s="3" t="s">
        <v>105</v>
      </c>
      <c r="C131" s="3" t="s">
        <v>144</v>
      </c>
      <c r="D131" s="2" t="s">
        <v>12</v>
      </c>
      <c r="E131" s="4" t="s">
        <v>13</v>
      </c>
      <c r="F131" s="5"/>
      <c r="G131" s="5"/>
      <c r="H131" s="6"/>
      <c r="I131" s="7"/>
      <c r="J131" s="8">
        <v>0</v>
      </c>
      <c r="K131" s="9" t="str">
        <f t="shared" si="8"/>
        <v/>
      </c>
      <c r="L131" s="9" t="str">
        <f t="shared" si="9"/>
        <v/>
      </c>
    </row>
    <row r="132" spans="1:12" x14ac:dyDescent="0.3">
      <c r="A132" s="2">
        <v>131</v>
      </c>
      <c r="B132" s="3" t="s">
        <v>105</v>
      </c>
      <c r="C132" s="3" t="s">
        <v>145</v>
      </c>
      <c r="D132" s="2" t="s">
        <v>12</v>
      </c>
      <c r="E132" s="4" t="s">
        <v>13</v>
      </c>
      <c r="F132" s="5"/>
      <c r="G132" s="5"/>
      <c r="H132" s="6"/>
      <c r="I132" s="7"/>
      <c r="J132" s="8">
        <v>0</v>
      </c>
      <c r="K132" s="9" t="str">
        <f t="shared" si="8"/>
        <v/>
      </c>
      <c r="L132" s="9" t="str">
        <f t="shared" si="9"/>
        <v/>
      </c>
    </row>
    <row r="133" spans="1:12" x14ac:dyDescent="0.3">
      <c r="A133" s="2">
        <v>132</v>
      </c>
      <c r="B133" s="3" t="s">
        <v>105</v>
      </c>
      <c r="C133" s="3" t="s">
        <v>146</v>
      </c>
      <c r="D133" s="2" t="s">
        <v>12</v>
      </c>
      <c r="E133" s="4" t="s">
        <v>13</v>
      </c>
      <c r="F133" s="5"/>
      <c r="G133" s="5"/>
      <c r="H133" s="6"/>
      <c r="I133" s="7"/>
      <c r="J133" s="8">
        <v>0</v>
      </c>
      <c r="K133" s="9" t="str">
        <f t="shared" si="8"/>
        <v/>
      </c>
      <c r="L133" s="9" t="str">
        <f t="shared" si="9"/>
        <v/>
      </c>
    </row>
    <row r="134" spans="1:12" x14ac:dyDescent="0.3">
      <c r="A134" s="2">
        <v>133</v>
      </c>
      <c r="B134" s="3" t="s">
        <v>105</v>
      </c>
      <c r="C134" s="3" t="s">
        <v>147</v>
      </c>
      <c r="D134" s="2" t="s">
        <v>12</v>
      </c>
      <c r="E134" s="4" t="s">
        <v>13</v>
      </c>
      <c r="F134" s="5"/>
      <c r="G134" s="5"/>
      <c r="H134" s="6"/>
      <c r="I134" s="7"/>
      <c r="J134" s="8">
        <v>0</v>
      </c>
      <c r="K134" s="9" t="str">
        <f t="shared" si="8"/>
        <v/>
      </c>
      <c r="L134" s="9" t="str">
        <f t="shared" si="9"/>
        <v/>
      </c>
    </row>
    <row r="135" spans="1:12" x14ac:dyDescent="0.3">
      <c r="A135" s="2">
        <v>134</v>
      </c>
      <c r="B135" s="3" t="s">
        <v>105</v>
      </c>
      <c r="C135" s="3" t="s">
        <v>148</v>
      </c>
      <c r="D135" s="2" t="s">
        <v>12</v>
      </c>
      <c r="E135" s="4" t="s">
        <v>13</v>
      </c>
      <c r="F135" s="5"/>
      <c r="G135" s="5"/>
      <c r="H135" s="6"/>
      <c r="I135" s="7"/>
      <c r="J135" s="8">
        <v>0</v>
      </c>
      <c r="K135" s="9" t="str">
        <f t="shared" si="8"/>
        <v/>
      </c>
      <c r="L135" s="9" t="str">
        <f t="shared" si="9"/>
        <v/>
      </c>
    </row>
    <row r="136" spans="1:12" x14ac:dyDescent="0.3">
      <c r="A136" s="2">
        <v>135</v>
      </c>
      <c r="B136" s="3" t="s">
        <v>105</v>
      </c>
      <c r="C136" s="3" t="s">
        <v>149</v>
      </c>
      <c r="D136" s="2" t="s">
        <v>12</v>
      </c>
      <c r="E136" s="4" t="s">
        <v>13</v>
      </c>
      <c r="F136" s="5"/>
      <c r="G136" s="5"/>
      <c r="H136" s="6"/>
      <c r="I136" s="7"/>
      <c r="J136" s="8">
        <v>0</v>
      </c>
      <c r="K136" s="9" t="str">
        <f t="shared" si="8"/>
        <v/>
      </c>
      <c r="L136" s="9" t="str">
        <f t="shared" si="9"/>
        <v/>
      </c>
    </row>
    <row r="137" spans="1:12" x14ac:dyDescent="0.3">
      <c r="A137" s="2">
        <v>136</v>
      </c>
      <c r="B137" s="3" t="s">
        <v>105</v>
      </c>
      <c r="C137" s="3" t="s">
        <v>150</v>
      </c>
      <c r="D137" s="2" t="s">
        <v>12</v>
      </c>
      <c r="E137" s="4" t="s">
        <v>13</v>
      </c>
      <c r="F137" s="5"/>
      <c r="G137" s="5"/>
      <c r="H137" s="6"/>
      <c r="I137" s="7"/>
      <c r="J137" s="8">
        <v>0</v>
      </c>
      <c r="K137" s="9" t="str">
        <f t="shared" si="8"/>
        <v/>
      </c>
      <c r="L137" s="9" t="str">
        <f t="shared" si="9"/>
        <v/>
      </c>
    </row>
    <row r="138" spans="1:12" x14ac:dyDescent="0.3">
      <c r="A138" s="2">
        <v>137</v>
      </c>
      <c r="B138" s="3" t="s">
        <v>105</v>
      </c>
      <c r="C138" s="3" t="s">
        <v>151</v>
      </c>
      <c r="D138" s="2" t="s">
        <v>12</v>
      </c>
      <c r="E138" s="4" t="s">
        <v>13</v>
      </c>
      <c r="F138" s="5"/>
      <c r="G138" s="5"/>
      <c r="H138" s="6"/>
      <c r="I138" s="7"/>
      <c r="J138" s="8">
        <v>0</v>
      </c>
      <c r="K138" s="9" t="str">
        <f t="shared" si="8"/>
        <v/>
      </c>
      <c r="L138" s="9" t="str">
        <f t="shared" si="9"/>
        <v/>
      </c>
    </row>
    <row r="139" spans="1:12" x14ac:dyDescent="0.3">
      <c r="A139" s="2">
        <v>138</v>
      </c>
      <c r="B139" s="3" t="s">
        <v>105</v>
      </c>
      <c r="C139" s="3" t="s">
        <v>152</v>
      </c>
      <c r="D139" s="2" t="s">
        <v>12</v>
      </c>
      <c r="E139" s="4" t="s">
        <v>13</v>
      </c>
      <c r="F139" s="5"/>
      <c r="G139" s="5"/>
      <c r="H139" s="6"/>
      <c r="I139" s="7"/>
      <c r="J139" s="8">
        <v>0</v>
      </c>
      <c r="K139" s="9" t="str">
        <f t="shared" si="8"/>
        <v/>
      </c>
      <c r="L139" s="9" t="str">
        <f t="shared" si="9"/>
        <v/>
      </c>
    </row>
    <row r="140" spans="1:12" x14ac:dyDescent="0.3">
      <c r="A140" s="2">
        <v>139</v>
      </c>
      <c r="B140" s="3" t="s">
        <v>105</v>
      </c>
      <c r="C140" s="3" t="s">
        <v>153</v>
      </c>
      <c r="D140" s="2" t="s">
        <v>12</v>
      </c>
      <c r="E140" s="4" t="s">
        <v>13</v>
      </c>
      <c r="F140" s="5"/>
      <c r="G140" s="5"/>
      <c r="H140" s="6"/>
      <c r="I140" s="7"/>
      <c r="J140" s="8">
        <v>0</v>
      </c>
      <c r="K140" s="9" t="str">
        <f t="shared" si="8"/>
        <v/>
      </c>
      <c r="L140" s="9" t="str">
        <f t="shared" si="9"/>
        <v/>
      </c>
    </row>
    <row r="141" spans="1:12" x14ac:dyDescent="0.3">
      <c r="A141" s="2">
        <v>140</v>
      </c>
      <c r="B141" s="3" t="s">
        <v>105</v>
      </c>
      <c r="C141" s="3" t="s">
        <v>154</v>
      </c>
      <c r="D141" s="2" t="s">
        <v>12</v>
      </c>
      <c r="E141" s="4" t="s">
        <v>13</v>
      </c>
      <c r="F141" s="5"/>
      <c r="G141" s="5"/>
      <c r="H141" s="6"/>
      <c r="I141" s="7"/>
      <c r="J141" s="8">
        <v>0</v>
      </c>
      <c r="K141" s="9" t="str">
        <f t="shared" si="8"/>
        <v/>
      </c>
      <c r="L141" s="9" t="str">
        <f t="shared" si="9"/>
        <v/>
      </c>
    </row>
    <row r="142" spans="1:12" x14ac:dyDescent="0.3">
      <c r="A142" s="2">
        <v>141</v>
      </c>
      <c r="B142" s="3" t="s">
        <v>105</v>
      </c>
      <c r="C142" s="3" t="s">
        <v>155</v>
      </c>
      <c r="D142" s="2" t="s">
        <v>12</v>
      </c>
      <c r="E142" s="4" t="s">
        <v>13</v>
      </c>
      <c r="F142" s="5"/>
      <c r="G142" s="5"/>
      <c r="H142" s="6"/>
      <c r="I142" s="7"/>
      <c r="J142" s="8">
        <v>0</v>
      </c>
      <c r="K142" s="9" t="str">
        <f t="shared" si="8"/>
        <v/>
      </c>
      <c r="L142" s="9" t="str">
        <f t="shared" si="9"/>
        <v/>
      </c>
    </row>
    <row r="143" spans="1:12" x14ac:dyDescent="0.3">
      <c r="A143" s="2">
        <v>142</v>
      </c>
      <c r="B143" s="3" t="s">
        <v>105</v>
      </c>
      <c r="C143" s="3" t="s">
        <v>156</v>
      </c>
      <c r="D143" s="2" t="s">
        <v>12</v>
      </c>
      <c r="E143" s="4" t="s">
        <v>13</v>
      </c>
      <c r="F143" s="5"/>
      <c r="G143" s="5"/>
      <c r="H143" s="6"/>
      <c r="I143" s="7"/>
      <c r="J143" s="8">
        <v>0</v>
      </c>
      <c r="K143" s="9" t="str">
        <f t="shared" si="8"/>
        <v/>
      </c>
      <c r="L143" s="9" t="str">
        <f t="shared" si="9"/>
        <v/>
      </c>
    </row>
    <row r="144" spans="1:12" x14ac:dyDescent="0.3">
      <c r="A144" s="2">
        <v>143</v>
      </c>
      <c r="B144" s="3" t="s">
        <v>105</v>
      </c>
      <c r="C144" s="3" t="s">
        <v>157</v>
      </c>
      <c r="D144" s="2" t="s">
        <v>12</v>
      </c>
      <c r="E144" s="4" t="s">
        <v>13</v>
      </c>
      <c r="F144" s="5"/>
      <c r="G144" s="5"/>
      <c r="H144" s="6"/>
      <c r="I144" s="7"/>
      <c r="J144" s="8">
        <v>0</v>
      </c>
      <c r="K144" s="9" t="str">
        <f t="shared" si="8"/>
        <v/>
      </c>
      <c r="L144" s="9" t="str">
        <f t="shared" si="9"/>
        <v/>
      </c>
    </row>
    <row r="145" spans="1:12" x14ac:dyDescent="0.3">
      <c r="A145" s="2">
        <v>144</v>
      </c>
      <c r="B145" s="3" t="s">
        <v>105</v>
      </c>
      <c r="C145" s="3" t="s">
        <v>158</v>
      </c>
      <c r="D145" s="2" t="s">
        <v>12</v>
      </c>
      <c r="E145" s="4" t="s">
        <v>13</v>
      </c>
      <c r="F145" s="5"/>
      <c r="G145" s="5"/>
      <c r="H145" s="6"/>
      <c r="I145" s="7"/>
      <c r="J145" s="8">
        <v>0</v>
      </c>
      <c r="K145" s="9" t="str">
        <f t="shared" si="8"/>
        <v/>
      </c>
      <c r="L145" s="9" t="str">
        <f t="shared" si="9"/>
        <v/>
      </c>
    </row>
    <row r="146" spans="1:12" x14ac:dyDescent="0.3">
      <c r="A146" s="2">
        <v>145</v>
      </c>
      <c r="B146" s="3" t="s">
        <v>105</v>
      </c>
      <c r="C146" s="3" t="s">
        <v>159</v>
      </c>
      <c r="D146" s="2" t="s">
        <v>12</v>
      </c>
      <c r="E146" s="4" t="s">
        <v>13</v>
      </c>
      <c r="F146" s="5"/>
      <c r="G146" s="5"/>
      <c r="H146" s="6"/>
      <c r="I146" s="7"/>
      <c r="J146" s="8">
        <v>0</v>
      </c>
      <c r="K146" s="9" t="str">
        <f t="shared" si="8"/>
        <v/>
      </c>
      <c r="L146" s="9" t="str">
        <f t="shared" si="9"/>
        <v/>
      </c>
    </row>
    <row r="147" spans="1:12" x14ac:dyDescent="0.3">
      <c r="A147" s="2">
        <v>146</v>
      </c>
      <c r="B147" s="3" t="s">
        <v>105</v>
      </c>
      <c r="C147" s="3" t="s">
        <v>160</v>
      </c>
      <c r="D147" s="2" t="s">
        <v>12</v>
      </c>
      <c r="E147" s="4" t="s">
        <v>13</v>
      </c>
      <c r="F147" s="5"/>
      <c r="G147" s="5"/>
      <c r="H147" s="6"/>
      <c r="I147" s="7"/>
      <c r="J147" s="8">
        <v>0</v>
      </c>
      <c r="K147" s="9" t="str">
        <f t="shared" si="8"/>
        <v/>
      </c>
      <c r="L147" s="9" t="str">
        <f t="shared" si="9"/>
        <v/>
      </c>
    </row>
    <row r="148" spans="1:12" x14ac:dyDescent="0.3">
      <c r="A148" s="2">
        <v>147</v>
      </c>
      <c r="B148" s="3" t="s">
        <v>105</v>
      </c>
      <c r="C148" s="3" t="s">
        <v>161</v>
      </c>
      <c r="D148" s="2" t="s">
        <v>12</v>
      </c>
      <c r="E148" s="4" t="s">
        <v>13</v>
      </c>
      <c r="F148" s="5"/>
      <c r="G148" s="5"/>
      <c r="H148" s="6"/>
      <c r="I148" s="7"/>
      <c r="J148" s="8">
        <v>0</v>
      </c>
      <c r="K148" s="9" t="str">
        <f t="shared" si="8"/>
        <v/>
      </c>
      <c r="L148" s="9" t="str">
        <f t="shared" si="9"/>
        <v/>
      </c>
    </row>
    <row r="149" spans="1:12" x14ac:dyDescent="0.3">
      <c r="A149" s="2">
        <v>148</v>
      </c>
      <c r="B149" s="3" t="s">
        <v>105</v>
      </c>
      <c r="C149" s="3" t="s">
        <v>162</v>
      </c>
      <c r="D149" s="2" t="s">
        <v>12</v>
      </c>
      <c r="E149" s="4" t="s">
        <v>13</v>
      </c>
      <c r="F149" s="5"/>
      <c r="G149" s="5"/>
      <c r="H149" s="6"/>
      <c r="I149" s="7"/>
      <c r="J149" s="8">
        <v>0</v>
      </c>
      <c r="K149" s="9" t="str">
        <f t="shared" si="8"/>
        <v/>
      </c>
      <c r="L149" s="9" t="str">
        <f t="shared" si="9"/>
        <v/>
      </c>
    </row>
    <row r="150" spans="1:12" x14ac:dyDescent="0.3">
      <c r="A150" s="2">
        <v>149</v>
      </c>
      <c r="B150" s="3" t="s">
        <v>105</v>
      </c>
      <c r="C150" s="3" t="s">
        <v>163</v>
      </c>
      <c r="D150" s="2" t="s">
        <v>12</v>
      </c>
      <c r="E150" s="4" t="s">
        <v>13</v>
      </c>
      <c r="F150" s="5"/>
      <c r="G150" s="5"/>
      <c r="H150" s="6"/>
      <c r="I150" s="7"/>
      <c r="J150" s="8">
        <v>0</v>
      </c>
      <c r="K150" s="9" t="str">
        <f t="shared" si="8"/>
        <v/>
      </c>
      <c r="L150" s="9" t="str">
        <f t="shared" si="9"/>
        <v/>
      </c>
    </row>
    <row r="151" spans="1:12" x14ac:dyDescent="0.3">
      <c r="A151" s="2">
        <v>150</v>
      </c>
      <c r="B151" s="3" t="s">
        <v>105</v>
      </c>
      <c r="C151" s="3" t="s">
        <v>164</v>
      </c>
      <c r="D151" s="2" t="s">
        <v>12</v>
      </c>
      <c r="E151" s="4" t="s">
        <v>13</v>
      </c>
      <c r="F151" s="5"/>
      <c r="G151" s="5"/>
      <c r="H151" s="6"/>
      <c r="I151" s="7"/>
      <c r="J151" s="8">
        <v>0</v>
      </c>
      <c r="K151" s="9" t="str">
        <f t="shared" si="8"/>
        <v/>
      </c>
      <c r="L151" s="9" t="str">
        <f t="shared" si="9"/>
        <v/>
      </c>
    </row>
    <row r="152" spans="1:12" x14ac:dyDescent="0.3">
      <c r="A152" s="2">
        <v>151</v>
      </c>
      <c r="B152" s="3" t="s">
        <v>105</v>
      </c>
      <c r="C152" s="3" t="s">
        <v>165</v>
      </c>
      <c r="D152" s="2" t="s">
        <v>12</v>
      </c>
      <c r="E152" s="4" t="s">
        <v>13</v>
      </c>
      <c r="F152" s="5"/>
      <c r="G152" s="5"/>
      <c r="H152" s="6"/>
      <c r="I152" s="7"/>
      <c r="J152" s="8">
        <v>0</v>
      </c>
      <c r="K152" s="9" t="str">
        <f t="shared" si="8"/>
        <v/>
      </c>
      <c r="L152" s="9" t="str">
        <f t="shared" si="9"/>
        <v/>
      </c>
    </row>
    <row r="153" spans="1:12" x14ac:dyDescent="0.3">
      <c r="A153" s="2">
        <v>152</v>
      </c>
      <c r="B153" s="3" t="s">
        <v>105</v>
      </c>
      <c r="C153" s="3" t="s">
        <v>166</v>
      </c>
      <c r="D153" s="2" t="s">
        <v>12</v>
      </c>
      <c r="E153" s="4" t="s">
        <v>13</v>
      </c>
      <c r="F153" s="5"/>
      <c r="G153" s="5"/>
      <c r="H153" s="6"/>
      <c r="I153" s="7"/>
      <c r="J153" s="8">
        <v>0</v>
      </c>
      <c r="K153" s="9" t="str">
        <f t="shared" si="8"/>
        <v/>
      </c>
      <c r="L153" s="9" t="str">
        <f t="shared" si="9"/>
        <v/>
      </c>
    </row>
    <row r="154" spans="1:12" x14ac:dyDescent="0.3">
      <c r="A154" s="2">
        <v>153</v>
      </c>
      <c r="B154" s="3" t="s">
        <v>105</v>
      </c>
      <c r="C154" s="3" t="s">
        <v>167</v>
      </c>
      <c r="D154" s="2" t="s">
        <v>12</v>
      </c>
      <c r="E154" s="4" t="s">
        <v>13</v>
      </c>
      <c r="F154" s="5"/>
      <c r="G154" s="5"/>
      <c r="H154" s="6"/>
      <c r="I154" s="7"/>
      <c r="J154" s="8">
        <v>0</v>
      </c>
      <c r="K154" s="9" t="str">
        <f t="shared" si="8"/>
        <v/>
      </c>
      <c r="L154" s="9" t="str">
        <f t="shared" si="9"/>
        <v/>
      </c>
    </row>
    <row r="155" spans="1:12" x14ac:dyDescent="0.3">
      <c r="A155" s="2">
        <v>154</v>
      </c>
      <c r="B155" s="3" t="s">
        <v>105</v>
      </c>
      <c r="C155" s="3" t="s">
        <v>168</v>
      </c>
      <c r="D155" s="2" t="s">
        <v>12</v>
      </c>
      <c r="E155" s="4" t="s">
        <v>13</v>
      </c>
      <c r="F155" s="5"/>
      <c r="G155" s="5"/>
      <c r="H155" s="6"/>
      <c r="I155" s="7"/>
      <c r="J155" s="8">
        <v>0</v>
      </c>
      <c r="K155" s="9" t="str">
        <f t="shared" si="8"/>
        <v/>
      </c>
      <c r="L155" s="9" t="str">
        <f t="shared" si="9"/>
        <v/>
      </c>
    </row>
    <row r="156" spans="1:12" x14ac:dyDescent="0.3">
      <c r="A156" s="2">
        <v>155</v>
      </c>
      <c r="B156" s="3" t="s">
        <v>105</v>
      </c>
      <c r="C156" s="3" t="s">
        <v>169</v>
      </c>
      <c r="D156" s="2" t="s">
        <v>12</v>
      </c>
      <c r="E156" s="4" t="s">
        <v>13</v>
      </c>
      <c r="F156" s="5"/>
      <c r="G156" s="5"/>
      <c r="H156" s="6"/>
      <c r="I156" s="7"/>
      <c r="J156" s="8">
        <v>0</v>
      </c>
      <c r="K156" s="9" t="str">
        <f t="shared" si="8"/>
        <v/>
      </c>
      <c r="L156" s="9" t="str">
        <f t="shared" si="9"/>
        <v/>
      </c>
    </row>
    <row r="157" spans="1:12" x14ac:dyDescent="0.3">
      <c r="A157" s="2">
        <v>156</v>
      </c>
      <c r="B157" s="3" t="s">
        <v>105</v>
      </c>
      <c r="C157" s="3" t="s">
        <v>170</v>
      </c>
      <c r="D157" s="2" t="s">
        <v>12</v>
      </c>
      <c r="E157" s="4" t="s">
        <v>13</v>
      </c>
      <c r="F157" s="5"/>
      <c r="G157" s="5"/>
      <c r="H157" s="6"/>
      <c r="I157" s="7"/>
      <c r="J157" s="8">
        <v>0</v>
      </c>
      <c r="K157" s="9" t="str">
        <f t="shared" si="8"/>
        <v/>
      </c>
      <c r="L157" s="9" t="str">
        <f t="shared" si="9"/>
        <v/>
      </c>
    </row>
    <row r="158" spans="1:12" x14ac:dyDescent="0.3">
      <c r="A158" s="2">
        <v>157</v>
      </c>
      <c r="B158" s="3" t="s">
        <v>105</v>
      </c>
      <c r="C158" s="3" t="s">
        <v>171</v>
      </c>
      <c r="D158" s="2" t="s">
        <v>12</v>
      </c>
      <c r="E158" s="4" t="s">
        <v>13</v>
      </c>
      <c r="F158" s="5"/>
      <c r="G158" s="5"/>
      <c r="H158" s="6"/>
      <c r="I158" s="7"/>
      <c r="J158" s="8">
        <v>0</v>
      </c>
      <c r="K158" s="9" t="str">
        <f t="shared" si="8"/>
        <v/>
      </c>
      <c r="L158" s="9" t="str">
        <f t="shared" si="9"/>
        <v/>
      </c>
    </row>
    <row r="159" spans="1:12" x14ac:dyDescent="0.3">
      <c r="A159" s="2">
        <v>158</v>
      </c>
      <c r="B159" s="3" t="s">
        <v>105</v>
      </c>
      <c r="C159" s="3" t="s">
        <v>172</v>
      </c>
      <c r="D159" s="2" t="s">
        <v>12</v>
      </c>
      <c r="E159" s="4" t="s">
        <v>13</v>
      </c>
      <c r="F159" s="5"/>
      <c r="G159" s="5"/>
      <c r="H159" s="6"/>
      <c r="I159" s="7"/>
      <c r="J159" s="8">
        <v>0</v>
      </c>
      <c r="K159" s="9" t="str">
        <f t="shared" si="8"/>
        <v/>
      </c>
      <c r="L159" s="9" t="str">
        <f t="shared" si="9"/>
        <v/>
      </c>
    </row>
    <row r="160" spans="1:12" x14ac:dyDescent="0.3">
      <c r="A160" s="2">
        <v>159</v>
      </c>
      <c r="B160" s="3" t="s">
        <v>105</v>
      </c>
      <c r="C160" s="3" t="s">
        <v>173</v>
      </c>
      <c r="D160" s="2" t="s">
        <v>12</v>
      </c>
      <c r="E160" s="4" t="s">
        <v>13</v>
      </c>
      <c r="F160" s="5"/>
      <c r="G160" s="5"/>
      <c r="H160" s="6"/>
      <c r="I160" s="7"/>
      <c r="J160" s="8">
        <v>0</v>
      </c>
      <c r="K160" s="9" t="str">
        <f t="shared" si="8"/>
        <v/>
      </c>
      <c r="L160" s="9" t="str">
        <f t="shared" si="9"/>
        <v/>
      </c>
    </row>
    <row r="161" spans="1:12" x14ac:dyDescent="0.3">
      <c r="A161" s="2">
        <v>160</v>
      </c>
      <c r="B161" s="3" t="s">
        <v>105</v>
      </c>
      <c r="C161" s="3" t="s">
        <v>174</v>
      </c>
      <c r="D161" s="2" t="s">
        <v>12</v>
      </c>
      <c r="E161" s="4" t="s">
        <v>13</v>
      </c>
      <c r="F161" s="5"/>
      <c r="G161" s="5"/>
      <c r="H161" s="6"/>
      <c r="I161" s="7"/>
      <c r="J161" s="8">
        <v>0</v>
      </c>
      <c r="K161" s="9" t="str">
        <f t="shared" si="8"/>
        <v/>
      </c>
      <c r="L161" s="9" t="str">
        <f t="shared" si="9"/>
        <v/>
      </c>
    </row>
    <row r="162" spans="1:12" ht="26.4" x14ac:dyDescent="0.3">
      <c r="A162" s="2">
        <v>161</v>
      </c>
      <c r="B162" s="3" t="s">
        <v>105</v>
      </c>
      <c r="C162" s="3" t="s">
        <v>175</v>
      </c>
      <c r="D162" s="2" t="s">
        <v>12</v>
      </c>
      <c r="E162" s="4" t="s">
        <v>13</v>
      </c>
      <c r="F162" s="5"/>
      <c r="G162" s="5"/>
      <c r="H162" s="6"/>
      <c r="I162" s="7"/>
      <c r="J162" s="8">
        <v>0</v>
      </c>
      <c r="K162" s="9" t="str">
        <f t="shared" si="8"/>
        <v/>
      </c>
      <c r="L162" s="9" t="str">
        <f t="shared" si="9"/>
        <v/>
      </c>
    </row>
    <row r="163" spans="1:12" x14ac:dyDescent="0.3">
      <c r="A163" s="2">
        <v>162</v>
      </c>
      <c r="B163" s="3" t="s">
        <v>105</v>
      </c>
      <c r="C163" s="3" t="s">
        <v>176</v>
      </c>
      <c r="D163" s="2" t="s">
        <v>12</v>
      </c>
      <c r="E163" s="4" t="s">
        <v>13</v>
      </c>
      <c r="F163" s="5"/>
      <c r="G163" s="5"/>
      <c r="H163" s="6"/>
      <c r="I163" s="7"/>
      <c r="J163" s="8">
        <v>0</v>
      </c>
      <c r="K163" s="9" t="str">
        <f t="shared" si="8"/>
        <v/>
      </c>
      <c r="L163" s="9" t="str">
        <f t="shared" si="9"/>
        <v/>
      </c>
    </row>
    <row r="164" spans="1:12" ht="26.4" x14ac:dyDescent="0.3">
      <c r="A164" s="2">
        <v>163</v>
      </c>
      <c r="B164" s="3" t="s">
        <v>105</v>
      </c>
      <c r="C164" s="3" t="s">
        <v>177</v>
      </c>
      <c r="D164" s="2" t="s">
        <v>12</v>
      </c>
      <c r="E164" s="4" t="s">
        <v>13</v>
      </c>
      <c r="F164" s="5"/>
      <c r="G164" s="5"/>
      <c r="H164" s="6"/>
      <c r="I164" s="7"/>
      <c r="J164" s="8">
        <v>0</v>
      </c>
      <c r="K164" s="9" t="str">
        <f t="shared" si="8"/>
        <v/>
      </c>
      <c r="L164" s="9" t="str">
        <f t="shared" si="9"/>
        <v/>
      </c>
    </row>
  </sheetData>
  <autoFilter ref="A1:L164" xr:uid="{93538948-943A-47E1-991E-174EFB5D12F0}"/>
  <dataValidations count="1">
    <dataValidation type="list" allowBlank="1" sqref="E2:E164" xr:uid="{00000000-0002-0000-0000-000000000000}">
      <formula1>"Não iniciada,Em andamento,Finalizada"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0"/>
  <sheetViews>
    <sheetView zoomScaleNormal="100" workbookViewId="0"/>
  </sheetViews>
  <sheetFormatPr defaultColWidth="8.6640625" defaultRowHeight="14.4" x14ac:dyDescent="0.3"/>
  <cols>
    <col min="1" max="1" width="100" customWidth="1"/>
  </cols>
  <sheetData>
    <row r="1" spans="1:1" ht="15.6" x14ac:dyDescent="0.3">
      <c r="A1" s="10" t="s">
        <v>178</v>
      </c>
    </row>
    <row r="2" spans="1:1" ht="15" x14ac:dyDescent="0.3">
      <c r="A2" s="11"/>
    </row>
    <row r="3" spans="1:1" ht="15.6" x14ac:dyDescent="0.3">
      <c r="A3" s="12" t="s">
        <v>179</v>
      </c>
    </row>
    <row r="4" spans="1:1" ht="30" x14ac:dyDescent="0.3">
      <c r="A4" s="11" t="s">
        <v>180</v>
      </c>
    </row>
    <row r="5" spans="1:1" ht="15" x14ac:dyDescent="0.3">
      <c r="A5" s="11" t="s">
        <v>181</v>
      </c>
    </row>
    <row r="6" spans="1:1" ht="15" x14ac:dyDescent="0.3">
      <c r="A6" s="11" t="s">
        <v>182</v>
      </c>
    </row>
    <row r="7" spans="1:1" ht="15" x14ac:dyDescent="0.3">
      <c r="A7" s="11" t="s">
        <v>183</v>
      </c>
    </row>
    <row r="8" spans="1:1" ht="15" x14ac:dyDescent="0.3">
      <c r="A8" s="11" t="s">
        <v>184</v>
      </c>
    </row>
    <row r="9" spans="1:1" ht="15" x14ac:dyDescent="0.3">
      <c r="A9" s="11"/>
    </row>
    <row r="10" spans="1:1" ht="15.6" x14ac:dyDescent="0.3">
      <c r="A10" s="12" t="s">
        <v>185</v>
      </c>
    </row>
    <row r="11" spans="1:1" ht="15" x14ac:dyDescent="0.3">
      <c r="A11" s="11" t="s">
        <v>186</v>
      </c>
    </row>
    <row r="12" spans="1:1" ht="15" x14ac:dyDescent="0.3">
      <c r="A12" s="11" t="s">
        <v>187</v>
      </c>
    </row>
    <row r="13" spans="1:1" ht="15" x14ac:dyDescent="0.3">
      <c r="A13" s="11"/>
    </row>
    <row r="14" spans="1:1" ht="15" x14ac:dyDescent="0.3">
      <c r="A14" s="11" t="s">
        <v>188</v>
      </c>
    </row>
    <row r="15" spans="1:1" ht="15" x14ac:dyDescent="0.3">
      <c r="A15" s="11"/>
    </row>
    <row r="16" spans="1:1" ht="15.6" x14ac:dyDescent="0.3">
      <c r="A16" s="13" t="s">
        <v>189</v>
      </c>
    </row>
    <row r="17" spans="1:1" ht="15" x14ac:dyDescent="0.3">
      <c r="A17" s="11" t="s">
        <v>190</v>
      </c>
    </row>
    <row r="18" spans="1:1" ht="15" x14ac:dyDescent="0.3">
      <c r="A18" s="11" t="s">
        <v>191</v>
      </c>
    </row>
    <row r="19" spans="1:1" ht="15" x14ac:dyDescent="0.3">
      <c r="A19" s="11" t="s">
        <v>192</v>
      </c>
    </row>
    <row r="20" spans="1:1" ht="15" x14ac:dyDescent="0.3">
      <c r="A20" s="11" t="s">
        <v>193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</vt:lpstr>
      <vt:lpstr>COMO PREENCHER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LUIS MANZANO</cp:lastModifiedBy>
  <cp:revision>0</cp:revision>
  <dcterms:created xsi:type="dcterms:W3CDTF">2026-08-08T14:56:47Z</dcterms:created>
  <dcterms:modified xsi:type="dcterms:W3CDTF">2026-08-26T18:04:46Z</dcterms:modified>
  <dc:language>en-US</dc:language>
</cp:coreProperties>
</file>